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ngwoolim/Desktop/"/>
    </mc:Choice>
  </mc:AlternateContent>
  <xr:revisionPtr revIDLastSave="0" documentId="13_ncr:1_{033E1B1C-1FC1-5A43-8DE8-1D15F2F470E0}" xr6:coauthVersionLast="47" xr6:coauthVersionMax="47" xr10:uidLastSave="{00000000-0000-0000-0000-000000000000}"/>
  <bookViews>
    <workbookView xWindow="4680" yWindow="600" windowWidth="33720" windowHeight="21000" activeTab="1" xr2:uid="{1359240A-EB6D-4D33-9088-6EF01DB1A59D}"/>
  </bookViews>
  <sheets>
    <sheet name="Sheet1" sheetId="1" r:id="rId1"/>
    <sheet name="Sheet1 (2)" sheetId="2" r:id="rId2"/>
    <sheet name="옵션" sheetId="3" r:id="rId3"/>
  </sheets>
  <definedNames>
    <definedName name="_" hidden="1">#REF!</definedName>
    <definedName name="__" hidden="1">#REF!</definedName>
    <definedName name="___" hidden="1">#REF!</definedName>
    <definedName name="________ST1">NA()</definedName>
    <definedName name="_______ST1">NA()</definedName>
    <definedName name="______AE1" localSheetId="2">BLCH</definedName>
    <definedName name="______AE1">BLCH</definedName>
    <definedName name="______AE2" localSheetId="2">BLCH</definedName>
    <definedName name="______AE2">BLCH</definedName>
    <definedName name="______AE3" localSheetId="2">BLCH</definedName>
    <definedName name="______AE3">BLCH</definedName>
    <definedName name="______E1" localSheetId="2">BLCH</definedName>
    <definedName name="______E1">BLCH</definedName>
    <definedName name="______E10" localSheetId="2">BLCH</definedName>
    <definedName name="______E10">BLCH</definedName>
    <definedName name="______E2" localSheetId="2">BLCH</definedName>
    <definedName name="______E2">BLCH</definedName>
    <definedName name="______E3" localSheetId="2">BLCH</definedName>
    <definedName name="______E3">BLCH</definedName>
    <definedName name="______E4" localSheetId="2">BLCH</definedName>
    <definedName name="______E4">BLCH</definedName>
    <definedName name="______E5" localSheetId="2">BLCH</definedName>
    <definedName name="______E5">BLCH</definedName>
    <definedName name="______E6" localSheetId="2">BLCH</definedName>
    <definedName name="______E6">BLCH</definedName>
    <definedName name="______E7" localSheetId="2">BLCH</definedName>
    <definedName name="______E7">BLCH</definedName>
    <definedName name="______E8" localSheetId="2">BLCH</definedName>
    <definedName name="______E8">BLCH</definedName>
    <definedName name="______E9" localSheetId="2">BLCH</definedName>
    <definedName name="______E9">BLCH</definedName>
    <definedName name="______ee3" localSheetId="2">BLCH</definedName>
    <definedName name="______ee3">BLCH</definedName>
    <definedName name="______EW1" localSheetId="2">BLCH</definedName>
    <definedName name="______EW1">BLCH</definedName>
    <definedName name="______EW2" localSheetId="2">BLCH</definedName>
    <definedName name="______EW2">BLCH</definedName>
    <definedName name="______EW3" localSheetId="2">BLCH</definedName>
    <definedName name="______EW3">BLCH</definedName>
    <definedName name="______fg34444" localSheetId="2">BLCH</definedName>
    <definedName name="______fg34444">BLCH</definedName>
    <definedName name="______Q1" localSheetId="2">BLCH</definedName>
    <definedName name="______Q1">BLCH</definedName>
    <definedName name="______Q2" localSheetId="2">BLCH</definedName>
    <definedName name="______Q2">BLCH</definedName>
    <definedName name="______Q3" localSheetId="2">BLCH</definedName>
    <definedName name="______Q3">BLCH</definedName>
    <definedName name="______Q4" localSheetId="2">BLCH</definedName>
    <definedName name="______Q4">BLCH</definedName>
    <definedName name="______Q5" localSheetId="2">BLCH</definedName>
    <definedName name="______Q5">BLCH</definedName>
    <definedName name="______Q6" localSheetId="2">BLCH</definedName>
    <definedName name="______Q6">BLCH</definedName>
    <definedName name="______Q7" localSheetId="2">BLCH</definedName>
    <definedName name="______Q7">BLCH</definedName>
    <definedName name="______Q8" localSheetId="2">BLCH</definedName>
    <definedName name="______Q8">BLCH</definedName>
    <definedName name="______Q9" localSheetId="2">BLCH</definedName>
    <definedName name="______Q9">BLCH</definedName>
    <definedName name="______ST1">NA()</definedName>
    <definedName name="______xlfn.BAHTTEXT">#NAME?</definedName>
    <definedName name="_____ST1">NA()</definedName>
    <definedName name="_____xlfn.BAHTTEXT">#NAME?</definedName>
    <definedName name="____AE1" localSheetId="2">BLCH</definedName>
    <definedName name="____AE1">BLCH</definedName>
    <definedName name="____AE2" localSheetId="2">BLCH</definedName>
    <definedName name="____AE2">BLCH</definedName>
    <definedName name="____AE3" localSheetId="2">BLCH</definedName>
    <definedName name="____AE3">BLCH</definedName>
    <definedName name="____E1" localSheetId="2">BLCH</definedName>
    <definedName name="____E1">BLCH</definedName>
    <definedName name="____E10" localSheetId="2">BLCH</definedName>
    <definedName name="____E10">BLCH</definedName>
    <definedName name="____E2" localSheetId="2">BLCH</definedName>
    <definedName name="____E2">BLCH</definedName>
    <definedName name="____E3" localSheetId="2">BLCH</definedName>
    <definedName name="____E3">BLCH</definedName>
    <definedName name="____E4" localSheetId="2">BLCH</definedName>
    <definedName name="____E4">BLCH</definedName>
    <definedName name="____E5" localSheetId="2">BLCH</definedName>
    <definedName name="____E5">BLCH</definedName>
    <definedName name="____E6" localSheetId="2">BLCH</definedName>
    <definedName name="____E6">BLCH</definedName>
    <definedName name="____E7" localSheetId="2">BLCH</definedName>
    <definedName name="____E7">BLCH</definedName>
    <definedName name="____E8" localSheetId="2">BLCH</definedName>
    <definedName name="____E8">BLCH</definedName>
    <definedName name="____E9" localSheetId="2">BLCH</definedName>
    <definedName name="____E9">BLCH</definedName>
    <definedName name="____ee3" localSheetId="2">BLCH</definedName>
    <definedName name="____ee3">BLCH</definedName>
    <definedName name="____EW1" localSheetId="2">BLCH</definedName>
    <definedName name="____EW1">BLCH</definedName>
    <definedName name="____EW2" localSheetId="2">BLCH</definedName>
    <definedName name="____EW2">BLCH</definedName>
    <definedName name="____EW3" localSheetId="2">BLCH</definedName>
    <definedName name="____EW3">BLCH</definedName>
    <definedName name="____fg34444" localSheetId="2">BLCH</definedName>
    <definedName name="____fg34444">BLCH</definedName>
    <definedName name="____Q1" localSheetId="2">BLCH</definedName>
    <definedName name="____Q1">BLCH</definedName>
    <definedName name="____Q2" localSheetId="2">BLCH</definedName>
    <definedName name="____Q2">BLCH</definedName>
    <definedName name="____Q3" localSheetId="2">BLCH</definedName>
    <definedName name="____Q3">BLCH</definedName>
    <definedName name="____Q4" localSheetId="2">BLCH</definedName>
    <definedName name="____Q4">BLCH</definedName>
    <definedName name="____Q5" localSheetId="2">BLCH</definedName>
    <definedName name="____Q5">BLCH</definedName>
    <definedName name="____Q6" localSheetId="2">BLCH</definedName>
    <definedName name="____Q6">BLCH</definedName>
    <definedName name="____Q7" localSheetId="2">BLCH</definedName>
    <definedName name="____Q7">BLCH</definedName>
    <definedName name="____Q8" localSheetId="2">BLCH</definedName>
    <definedName name="____Q8">BLCH</definedName>
    <definedName name="____Q9" localSheetId="2">BLCH</definedName>
    <definedName name="____Q9">BLCH</definedName>
    <definedName name="____ST1">NA()</definedName>
    <definedName name="____xlfn.BAHTTEXT">#NAME?</definedName>
    <definedName name="___ST1">NA()</definedName>
    <definedName name="___xlfn.BAHTTEXT">#NAME?</definedName>
    <definedName name="__123Graph_A" hidden="1">#REF!</definedName>
    <definedName name="__123Graph_B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AE1" localSheetId="2">BLCH</definedName>
    <definedName name="__AE1">BLCH</definedName>
    <definedName name="__AE2" localSheetId="2">BLCH</definedName>
    <definedName name="__AE2">BLCH</definedName>
    <definedName name="__AE3" localSheetId="2">BLCH</definedName>
    <definedName name="__AE3">BLCH</definedName>
    <definedName name="__E1" localSheetId="2">BLCH</definedName>
    <definedName name="__E1">BLCH</definedName>
    <definedName name="__E10" localSheetId="2">BLCH</definedName>
    <definedName name="__E10">BLCH</definedName>
    <definedName name="__E2" localSheetId="2">BLCH</definedName>
    <definedName name="__E2">BLCH</definedName>
    <definedName name="__E3" localSheetId="2">BLCH</definedName>
    <definedName name="__E3">BLCH</definedName>
    <definedName name="__E4" localSheetId="2">BLCH</definedName>
    <definedName name="__E4">BLCH</definedName>
    <definedName name="__E5" localSheetId="2">BLCH</definedName>
    <definedName name="__E5">BLCH</definedName>
    <definedName name="__E6" localSheetId="2">BLCH</definedName>
    <definedName name="__E6">BLCH</definedName>
    <definedName name="__E7" localSheetId="2">BLCH</definedName>
    <definedName name="__E7">BLCH</definedName>
    <definedName name="__E8" localSheetId="2">BLCH</definedName>
    <definedName name="__E8">BLCH</definedName>
    <definedName name="__E9" localSheetId="2">BLCH</definedName>
    <definedName name="__E9">BLCH</definedName>
    <definedName name="__ee3" localSheetId="2">BLCH</definedName>
    <definedName name="__ee3">BLCH</definedName>
    <definedName name="__EW1" localSheetId="2">BLCH</definedName>
    <definedName name="__EW1">BLCH</definedName>
    <definedName name="__EW2" localSheetId="2">BLCH</definedName>
    <definedName name="__EW2">BLCH</definedName>
    <definedName name="__EW3" localSheetId="2">BLCH</definedName>
    <definedName name="__EW3">BLCH</definedName>
    <definedName name="__fg34444" localSheetId="2">BLCH</definedName>
    <definedName name="__fg34444">BLCH</definedName>
    <definedName name="__Q1" localSheetId="2">BLCH</definedName>
    <definedName name="__Q1">BLCH</definedName>
    <definedName name="__Q2" localSheetId="2">BLCH</definedName>
    <definedName name="__Q2">BLCH</definedName>
    <definedName name="__Q3" localSheetId="2">BLCH</definedName>
    <definedName name="__Q3">BLCH</definedName>
    <definedName name="__Q4" localSheetId="2">BLCH</definedName>
    <definedName name="__Q4">BLCH</definedName>
    <definedName name="__Q5" localSheetId="2">BLCH</definedName>
    <definedName name="__Q5">BLCH</definedName>
    <definedName name="__Q6" localSheetId="2">BLCH</definedName>
    <definedName name="__Q6">BLCH</definedName>
    <definedName name="__Q7" localSheetId="2">BLCH</definedName>
    <definedName name="__Q7">BLCH</definedName>
    <definedName name="__Q8" localSheetId="2">BLCH</definedName>
    <definedName name="__Q8">BLCH</definedName>
    <definedName name="__Q9" localSheetId="2">BLCH</definedName>
    <definedName name="__Q9">BLCH</definedName>
    <definedName name="__ST1">NA()</definedName>
    <definedName name="__xlfn.BAHTTEXT">#NAME?</definedName>
    <definedName name="__xlfn.IFERROR">#NAME?</definedName>
    <definedName name="__xlfn.SUMIFS">#NAME?</definedName>
    <definedName name="_1">NA()</definedName>
    <definedName name="_1_123Grap" hidden="1">#REF!</definedName>
    <definedName name="_2">NA()</definedName>
    <definedName name="_2Dist_" hidden="1">#REF!</definedName>
    <definedName name="_3">NA()</definedName>
    <definedName name="_3F" hidden="1">#REF!</definedName>
    <definedName name="_4">NA()</definedName>
    <definedName name="_4_0__123Grap" hidden="1">#REF!</definedName>
    <definedName name="_5">NA()</definedName>
    <definedName name="_5_0_Dist_" hidden="1">#REF!</definedName>
    <definedName name="_6">NA()</definedName>
    <definedName name="_6_0_0_F" hidden="1">#REF!</definedName>
    <definedName name="_AE1" localSheetId="2">BLCH</definedName>
    <definedName name="_AE1">BLCH</definedName>
    <definedName name="_AE2" localSheetId="2">BLCH</definedName>
    <definedName name="_AE2">BLCH</definedName>
    <definedName name="_AE3" localSheetId="2">BLCH</definedName>
    <definedName name="_AE3">BLCH</definedName>
    <definedName name="_b">NA()</definedName>
    <definedName name="_c">NA()</definedName>
    <definedName name="_d">NA()</definedName>
    <definedName name="_Dist_Bin" hidden="1">#REF!</definedName>
    <definedName name="_Dist_Values">#REF!</definedName>
    <definedName name="_E1" localSheetId="2">BLCH</definedName>
    <definedName name="_E1">BLCH</definedName>
    <definedName name="_E10" localSheetId="2">BLCH</definedName>
    <definedName name="_E10">BLCH</definedName>
    <definedName name="_E2" localSheetId="2">BLCH</definedName>
    <definedName name="_E2">BLCH</definedName>
    <definedName name="_E3" localSheetId="2">BLCH</definedName>
    <definedName name="_E3">BLCH</definedName>
    <definedName name="_E4" localSheetId="2">BLCH</definedName>
    <definedName name="_E4">BLCH</definedName>
    <definedName name="_E5" localSheetId="2">BLCH</definedName>
    <definedName name="_E5">BLCH</definedName>
    <definedName name="_E6" localSheetId="2">BLCH</definedName>
    <definedName name="_E6">BLCH</definedName>
    <definedName name="_E7" localSheetId="2">BLCH</definedName>
    <definedName name="_E7">BLCH</definedName>
    <definedName name="_E7_E9_E11_E13_">#N/A</definedName>
    <definedName name="_E8" localSheetId="2">BLCH</definedName>
    <definedName name="_E8">BLCH</definedName>
    <definedName name="_E9" localSheetId="2">BLCH</definedName>
    <definedName name="_E9">BLCH</definedName>
    <definedName name="_ee3" localSheetId="2">BLCH</definedName>
    <definedName name="_ee3">BLCH</definedName>
    <definedName name="_EW1" localSheetId="2">BLCH</definedName>
    <definedName name="_EW1">BLCH</definedName>
    <definedName name="_EW2" localSheetId="2">BLCH</definedName>
    <definedName name="_EW2">BLCH</definedName>
    <definedName name="_EW3" localSheetId="2">BLCH</definedName>
    <definedName name="_EW3">BLCH</definedName>
    <definedName name="_fg34444" localSheetId="2">BLCH</definedName>
    <definedName name="_fg34444">BLCH</definedName>
    <definedName name="_Fill" hidden="1">#REF!</definedName>
    <definedName name="_xlnm._FilterDatabase" localSheetId="2" hidden="1">옵션!$B$4:$O$302</definedName>
    <definedName name="_xlnm._FilterDatabase">#REF!</definedName>
    <definedName name="_IRR2" hidden="1">#REF!</definedName>
    <definedName name="_Key1" hidden="1">#REF!</definedName>
    <definedName name="_Key2" hidden="1">#REF!</definedName>
    <definedName name="_l">NA()</definedName>
    <definedName name="_MatInverse_In" hidden="1">#REF!</definedName>
    <definedName name="_MatInverse_Out" hidden="1">#REF!</definedName>
    <definedName name="_Order1" hidden="1">255</definedName>
    <definedName name="_Order2" hidden="1">255</definedName>
    <definedName name="_Parse_Out" hidden="1">#REF!</definedName>
    <definedName name="_q">NA()</definedName>
    <definedName name="_Q1" localSheetId="2">BLCH</definedName>
    <definedName name="_Q1">BLCH</definedName>
    <definedName name="_Q2" localSheetId="2">BLCH</definedName>
    <definedName name="_Q2">BLCH</definedName>
    <definedName name="_Q3" localSheetId="2">BLCH</definedName>
    <definedName name="_Q3">BLCH</definedName>
    <definedName name="_Q4" localSheetId="2">BLCH</definedName>
    <definedName name="_Q4">BLCH</definedName>
    <definedName name="_Q5" localSheetId="2">BLCH</definedName>
    <definedName name="_Q5">BLCH</definedName>
    <definedName name="_Q6" localSheetId="2">BLCH</definedName>
    <definedName name="_Q6">BLCH</definedName>
    <definedName name="_Q7" localSheetId="2">BLCH</definedName>
    <definedName name="_Q7">BLCH</definedName>
    <definedName name="_Q8" localSheetId="2">BLCH</definedName>
    <definedName name="_Q8">BLCH</definedName>
    <definedName name="_Q9" localSheetId="2">BLCH</definedName>
    <definedName name="_Q9">BLCH</definedName>
    <definedName name="_r">NA()</definedName>
    <definedName name="_s">NA()</definedName>
    <definedName name="_Sort" hidden="1">#REF!</definedName>
    <definedName name="_ST1">NA()</definedName>
    <definedName name="\a">#N/A</definedName>
    <definedName name="\b">#N/A</definedName>
    <definedName name="\c">#REF!</definedName>
    <definedName name="\d">#REF!</definedName>
    <definedName name="\e">#REF!</definedName>
    <definedName name="\f">#REF!</definedName>
    <definedName name="\g">#REF!</definedName>
    <definedName name="\h">#REF!</definedName>
    <definedName name="\i">#REF!</definedName>
    <definedName name="\p">#REF!</definedName>
    <definedName name="\Q">#REF!</definedName>
    <definedName name="\s">#REF!</definedName>
    <definedName name="\t">#REF!</definedName>
    <definedName name="\u">#REF!</definedName>
    <definedName name="\X">#REF!</definedName>
    <definedName name="\z">#REF!</definedName>
    <definedName name="ㄱ" hidden="1">{#N/A,#N/A,FALSE,"이태원철근"}</definedName>
    <definedName name="가" hidden="1">#REF!</definedName>
    <definedName name="가.건축공사">NA()</definedName>
    <definedName name="가.공원시설물공">NA()</definedName>
    <definedName name="가가">#REF!</definedName>
    <definedName name="가계약">#REF!</definedName>
    <definedName name="가설">#REF!</definedName>
    <definedName name="간접">#REF!</definedName>
    <definedName name="간접노무비">14%</definedName>
    <definedName name="간접비">#REF!</definedName>
    <definedName name="간지">#REF!</definedName>
    <definedName name="강" localSheetId="2">BLCH</definedName>
    <definedName name="강">BLCH</definedName>
    <definedName name="강릉교동" hidden="1">#REF!</definedName>
    <definedName name="강릉교동터파기" hidden="1">#REF!</definedName>
    <definedName name="강릉교동토목" hidden="1">#REF!</definedName>
    <definedName name="강릉교동흙막이" hidden="1">#REF!</definedName>
    <definedName name="강릉토공사" hidden="1">#REF!</definedName>
    <definedName name="강릉토목공사" hidden="1">#REF!</definedName>
    <definedName name="강릉토목임" hidden="1">#REF!</definedName>
    <definedName name="강접비">#REF!</definedName>
    <definedName name="개업시작시점">#REF!</definedName>
    <definedName name="건비">#REF!</definedName>
    <definedName name="견적" localSheetId="2">dmltjd</definedName>
    <definedName name="견적">dmltjd</definedName>
    <definedName name="견적1" localSheetId="2">dmltjd</definedName>
    <definedName name="견적1">dmltjd</definedName>
    <definedName name="견적대비" localSheetId="2">BLCH</definedName>
    <definedName name="견적대비">BLCH</definedName>
    <definedName name="견적집계">#REF!</definedName>
    <definedName name="결론">#REF!</definedName>
    <definedName name="계" hidden="1">#REF!</definedName>
    <definedName name="계약">#REF!</definedName>
    <definedName name="계약1">#REF!</definedName>
    <definedName name="계약관리">#REF!</definedName>
    <definedName name="계약구분">#REF!</definedName>
    <definedName name="계약서분출">#REF!</definedName>
    <definedName name="계약예정">#REF!</definedName>
    <definedName name="공" localSheetId="2">BLCH</definedName>
    <definedName name="공">BLCH</definedName>
    <definedName name="공간" hidden="1">5</definedName>
    <definedName name="공구손료">3%</definedName>
    <definedName name="공기">#REF!</definedName>
    <definedName name="공문" hidden="1">#REF!</definedName>
    <definedName name="공사기간">#REF!</definedName>
    <definedName name="공사비산출">#REF!</definedName>
    <definedName name="공사비예산서" localSheetId="2">BLCH</definedName>
    <definedName name="공사비예산서">BLCH</definedName>
    <definedName name="공사준공일">#REF!</definedName>
    <definedName name="공사착공일">#REF!</definedName>
    <definedName name="공사채이자율">#REF!</definedName>
    <definedName name="공사채조달비율">#REF!</definedName>
    <definedName name="공사채조달액">#REF!</definedName>
    <definedName name="공수1" localSheetId="2">BM</definedName>
    <definedName name="공수1">BM</definedName>
    <definedName name="공원식재공">NA()</definedName>
    <definedName name="공종">#REF!</definedName>
    <definedName name="공통비" hidden="1">#REF!</definedName>
    <definedName name="관급1" localSheetId="2">관급</definedName>
    <definedName name="관급1">관급</definedName>
    <definedName name="교동토" hidden="1">#REF!</definedName>
    <definedName name="교동토목공사" hidden="1">{#N/A,#N/A,FALSE,"이태원철근"}</definedName>
    <definedName name="구______분">NA()</definedName>
    <definedName name="구분" localSheetId="2">BLCH</definedName>
    <definedName name="구분">#REF!</definedName>
    <definedName name="구분1" localSheetId="2">BLCH</definedName>
    <definedName name="구분1">BLCH</definedName>
    <definedName name="규_______">NA()</definedName>
    <definedName name="그냥" hidden="1">{#N/A,#N/A,FALSE,"Sheet6"}</definedName>
    <definedName name="금">#REF!</definedName>
    <definedName name="기" localSheetId="2">NA()</definedName>
    <definedName name="기" hidden="1">#REF!</definedName>
    <definedName name="기계3" localSheetId="2">BLCH</definedName>
    <definedName name="기계3">BLCH</definedName>
    <definedName name="기계5" localSheetId="2">BLCH</definedName>
    <definedName name="기계5">BLCH</definedName>
    <definedName name="기금">#REF!</definedName>
    <definedName name="기성">NA()</definedName>
    <definedName name="기성1">NA()</definedName>
    <definedName name="기성4회">{0,0}</definedName>
    <definedName name="기성품" localSheetId="2">BLCH</definedName>
    <definedName name="기성품">BLCH</definedName>
    <definedName name="기조일위대가">NA()</definedName>
    <definedName name="기존">#REF!</definedName>
    <definedName name="기준">#REF!</definedName>
    <definedName name="기준평당가">#REF!</definedName>
    <definedName name="기초일위대가">NA()</definedName>
    <definedName name="기타">#REF!</definedName>
    <definedName name="김종복" localSheetId="2">BLCH</definedName>
    <definedName name="김종복">BLCH</definedName>
    <definedName name="ㄴ" hidden="1">{#N/A,#N/A,FALSE,"이태원철근"}</definedName>
    <definedName name="ㄴㄴ" hidden="1">#REF!</definedName>
    <definedName name="ㄴㄴㅁ" localSheetId="2">BLCH</definedName>
    <definedName name="ㄴㄴㅁ">BLCH</definedName>
    <definedName name="ㄴㄹ" localSheetId="2">BM</definedName>
    <definedName name="ㄴㄹ">BM</definedName>
    <definedName name="ㄴㄹㅇㄹㅇㄴ" hidden="1">{#N/A,#N/A,FALSE,"Aging Summary";#N/A,#N/A,FALSE,"Ratio Analysis";#N/A,#N/A,FALSE,"Test 120 Day Accts";#N/A,#N/A,FALSE,"Tickmarks"}</definedName>
    <definedName name="ㄴㅇㄹ" localSheetId="2">BLCH</definedName>
    <definedName name="ㄴㅇㄹ">BLCH</definedName>
    <definedName name="ㄴㅇㅁ호러ㅏ">{0,0,0,0}</definedName>
    <definedName name="나" hidden="1">#REF!</definedName>
    <definedName name="나.주거공단완충녹지시설물공">NA()</definedName>
    <definedName name="납입현황">#REF!</definedName>
    <definedName name="내">NA()</definedName>
    <definedName name="넘버">#REF!</definedName>
    <definedName name="노계1" localSheetId="2">BM</definedName>
    <definedName name="노계1">BM</definedName>
    <definedName name="노무집" localSheetId="2">BLCH</definedName>
    <definedName name="노무집">BLCH</definedName>
    <definedName name="노임">NA()</definedName>
    <definedName name="노임1" localSheetId="2">BLCH</definedName>
    <definedName name="노임1">BLCH</definedName>
    <definedName name="노집1" localSheetId="2">BM</definedName>
    <definedName name="노집1">BM</definedName>
    <definedName name="누계도급">#REF!</definedName>
    <definedName name="ㄷ" hidden="1">{#N/A,#N/A,FALSE,"이태원철근"}</definedName>
    <definedName name="ㄷㄷ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ㄷㅈ">{0}</definedName>
    <definedName name="ㄷㅈㅅㄱㅈ" localSheetId="2">BLCH</definedName>
    <definedName name="ㄷㅈㅅㄱㅈ">BLCH</definedName>
    <definedName name="다" hidden="1">#REF!</definedName>
    <definedName name="단가">#REF!</definedName>
    <definedName name="단가분석">#REF!</definedName>
    <definedName name="단위" localSheetId="2">NA()</definedName>
    <definedName name="단위">#REF!</definedName>
    <definedName name="당사수지복리4" hidden="1">#REF!</definedName>
    <definedName name="대우부지" hidden="1">{#N/A,#N/A,FALSE,"이태원철근"}</definedName>
    <definedName name="도급가">#REF!</definedName>
    <definedName name="도급공사비">NA()</definedName>
    <definedName name="도급순전체">#REF!</definedName>
    <definedName name="도급실행">#REF!</definedName>
    <definedName name="도급액">#REF!</definedName>
    <definedName name="도로조서">{"'도로'!$A$2:$N$42"}</definedName>
    <definedName name="도비">#REF!</definedName>
    <definedName name="도입시설" hidden="1">{#N/A,#N/A,FALSE,"이태원철근"}</definedName>
    <definedName name="도입시설제안1" hidden="1">{#N/A,#N/A,FALSE,"이태원철근"}</definedName>
    <definedName name="동1">#REF!</definedName>
    <definedName name="동2">#REF!</definedName>
    <definedName name="동3">#REF!</definedName>
    <definedName name="동4">#REF!</definedName>
    <definedName name="동동1">#REF!</definedName>
    <definedName name="동동2">#REF!</definedName>
    <definedName name="동동3">#REF!</definedName>
    <definedName name="동동4">#REF!</definedName>
    <definedName name="동동동1">#REF!</definedName>
    <definedName name="동동동2">#REF!</definedName>
    <definedName name="동동동3">#REF!</definedName>
    <definedName name="동동동4">#REF!</definedName>
    <definedName name="동별">#REF!</definedName>
    <definedName name="동별내역">#REF!</definedName>
    <definedName name="동별설계">#REF!</definedName>
    <definedName name="동호수">#REF!</definedName>
    <definedName name="됐어" hidden="1">{#N/A,#N/A,FALSE,"Sheet6"}</definedName>
    <definedName name="ㄹ" hidden="1">{#N/A,#N/A,FALSE,"이태원철근"}</definedName>
    <definedName name="ㄹㄴㅇㄹ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ㄹ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라" hidden="1">#REF!</definedName>
    <definedName name="러ㅏㅇ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ㅁ" hidden="1">{#N/A,#N/A,FALSE,"이태원철근"}</definedName>
    <definedName name="ㅁㄴㅁㅇ" hidden="1">#REF!</definedName>
    <definedName name="ㅁㄴㅇ" hidden="1">{#N/A,#N/A,FALSE,"이태원철근"}</definedName>
    <definedName name="ㅁㅁㅁ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ㅁㅁㅁㅁ" localSheetId="2">BLCH</definedName>
    <definedName name="ㅁㅁㅁㅁ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마감공사비A3" hidden="1">#REF!</definedName>
    <definedName name="면">#REF!</definedName>
    <definedName name="면1">#REF!</definedName>
    <definedName name="면장" localSheetId="2">BLCH</definedName>
    <definedName name="면장">BLCH</definedName>
    <definedName name="면장2" localSheetId="2">BLCH</definedName>
    <definedName name="면장2">BLCH</definedName>
    <definedName name="면적표">#REF!</definedName>
    <definedName name="면적표m2">#REF!</definedName>
    <definedName name="모델복구">#REF!</definedName>
    <definedName name="모델시작년도말">#REF!</definedName>
    <definedName name="모델시작분기말">#REF!</definedName>
    <definedName name="물" hidden="1">{#N/A,#N/A,FALSE,"이태원철근"}</definedName>
    <definedName name="물가" hidden="1">{#N/A,#N/A,FALSE,"이태원철근"}</definedName>
    <definedName name="물가물가" hidden="1">{#N/A,#N/A,FALSE,"이태원철근"}</definedName>
    <definedName name="물가상승률">#REF!</definedName>
    <definedName name="뭐가이태원이야" hidden="1">{#N/A,#N/A,FALSE,"이태원철근"}</definedName>
    <definedName name="미수이자1" hidden="1">#REF!</definedName>
    <definedName name="민감도" hidden="1">#REF!</definedName>
    <definedName name="민수틀" hidden="1">{#N/A,#N/A,FALSE,"Sheet6"}</definedName>
    <definedName name="ㅂ" hidden="1">{#N/A,#N/A,FALSE,"이태원철근"}</definedName>
    <definedName name="ㅂㅂㅂ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ㅂㅂㅈ" hidden="1">{#N/A,#N/A,FALSE,"이태원철근"}</definedName>
    <definedName name="ㅂㅈㄱ">{0}</definedName>
    <definedName name="ㅂㅈㄷ" hidden="1">"C0168M47EQ82J0CS1RJ7NZD0U"</definedName>
    <definedName name="박" hidden="1">#REF!</definedName>
    <definedName name="박은하" localSheetId="2">dmltjd</definedName>
    <definedName name="박은하">dmltjd</definedName>
    <definedName name="백">#REF!</definedName>
    <definedName name="법인세1억원이상">#REF!</definedName>
    <definedName name="법인세1억원이하">#REF!</definedName>
    <definedName name="법인소득할주민세">#REF!</definedName>
    <definedName name="변경">#REF!</definedName>
    <definedName name="변폐기물처리비">#REF!</definedName>
    <definedName name="보고서2">#REF!</definedName>
    <definedName name="보할" hidden="1">{#N/A,#N/A,FALSE,"이태원철근"}</definedName>
    <definedName name="본계약일자">#REF!</definedName>
    <definedName name="본부">#REF!</definedName>
    <definedName name="부대건축2" hidden="1">#REF!</definedName>
    <definedName name="부대입찰잡비" localSheetId="2">dmltjd</definedName>
    <definedName name="부대입찰잡비">dmltjd</definedName>
    <definedName name="부서">#REF!</definedName>
    <definedName name="부속" hidden="1">#REF!</definedName>
    <definedName name="부토" localSheetId="2">dmltjd</definedName>
    <definedName name="부토">dmltjd</definedName>
    <definedName name="분" hidden="1">{#N/A,#N/A,FALSE,"이태원철근"}</definedName>
    <definedName name="분당공" hidden="1">#REF!</definedName>
    <definedName name="분당물가" hidden="1">#REF!</definedName>
    <definedName name="분당코아" hidden="1">#REF!</definedName>
    <definedName name="분당협조" hidden="1">{#N/A,#N/A,FALSE,"이태원철근"}</definedName>
    <definedName name="분양">#REF!</definedName>
    <definedName name="분양가조견표2">{"'표지'!$E$8"}</definedName>
    <definedName name="분양개시일">#REF!</definedName>
    <definedName name="불변가격산정기준일">#REF!</definedName>
    <definedName name="ㅅ" hidden="1">{#N/A,#N/A,FALSE,"이태원철근"}</definedName>
    <definedName name="ㅅㄷㄳ34ㅅ5ㅅ4">{0,0,0,0}</definedName>
    <definedName name="사업수지표1">{"'표지'!$E$8"}</definedName>
    <definedName name="사업종료일">#REF!</definedName>
    <definedName name="산재보험료">3.3%</definedName>
    <definedName name="삼.관리및편익시설물공">NA()</definedName>
    <definedName name="새공통" hidden="1">{#N/A,#N/A,FALSE,"이태원철근"}</definedName>
    <definedName name="새표지">#REF!</definedName>
    <definedName name="서비스임대" hidden="1">#REF!</definedName>
    <definedName name="서초서원">#REF!</definedName>
    <definedName name="선정품의">#REF!</definedName>
    <definedName name="설계">#REF!</definedName>
    <definedName name="설비" hidden="1">{#N/A,#N/A,FALSE,"이태원철근"}</definedName>
    <definedName name="세대수">#REF!</definedName>
    <definedName name="세대수1">#REF!</definedName>
    <definedName name="수_량">NA()</definedName>
    <definedName name="수급표" hidden="1">#REF!</definedName>
    <definedName name="수량산출" localSheetId="2">BLCH</definedName>
    <definedName name="수량산출">BLCH</definedName>
    <definedName name="수량산출2" localSheetId="2">BLCH</definedName>
    <definedName name="수량산출2">BLCH</definedName>
    <definedName name="수량산출5" localSheetId="2">BLCH</definedName>
    <definedName name="수량산출5">BLCH</definedName>
    <definedName name="수량산출서표지" localSheetId="2">BLCH</definedName>
    <definedName name="수량산출서표지">BLCH</definedName>
    <definedName name="수면" localSheetId="2">BLCH</definedName>
    <definedName name="수면">BLCH</definedName>
    <definedName name="수목공통대가">NA()</definedName>
    <definedName name="수목일위대가">NA()</definedName>
    <definedName name="수입면장2" localSheetId="2">BLCH</definedName>
    <definedName name="수입면장2">BLCH</definedName>
    <definedName name="순공">NA()</definedName>
    <definedName name="시멘트6" localSheetId="2">BLCH</definedName>
    <definedName name="시멘트6">BLCH</definedName>
    <definedName name="시설조서">{"'도로'!$A$2:$N$42"}</definedName>
    <definedName name="시행" hidden="1">{#N/A,#N/A,FALSE,"이태원철근"}</definedName>
    <definedName name="시행1" hidden="1">{#N/A,#N/A,FALSE,"이태원철근"}</definedName>
    <definedName name="식대">4000+1500*2</definedName>
    <definedName name="식재공">NA()</definedName>
    <definedName name="식재공사97">NA()</definedName>
    <definedName name="신축준공">#REF!</definedName>
    <definedName name="신축착공">#REF!</definedName>
    <definedName name="실별분양가">#REF!</definedName>
    <definedName name="실소속임금대장" localSheetId="2">BLCH</definedName>
    <definedName name="실소속임금대장">BLCH</definedName>
    <definedName name="실품">#REF!</definedName>
    <definedName name="ㅇ1207">#REF!</definedName>
    <definedName name="ㅇ48">#REF!</definedName>
    <definedName name="ㅇㄴㄴ" hidden="1">{#N/A,#N/A,FALSE,"이태원철근"}</definedName>
    <definedName name="ㅇㄹㅇㄹ" hidden="1">{#N/A,#N/A,FALSE,"이태원철근"}</definedName>
    <definedName name="ㅇㄹㅇㄹㅇㄹㅇㄹ" hidden="1">{#N/A,#N/A,FALSE,"이태원철근"}</definedName>
    <definedName name="ㅇㅇㅇㅇ" hidden="1">{#N/A,#N/A,FALSE,"이태원철근"}</definedName>
    <definedName name="안전관리비">2.48%</definedName>
    <definedName name="알어러" localSheetId="2">BM</definedName>
    <definedName name="알어러">BM</definedName>
    <definedName name="암남동총괄표">#REF!</definedName>
    <definedName name="암사">#REF!</definedName>
    <definedName name="어니" hidden="1">{#N/A,#N/A,FALSE,"이태원철근"}</definedName>
    <definedName name="어ㅏ아" localSheetId="2">BM</definedName>
    <definedName name="어ㅏ아">BM</definedName>
    <definedName name="영구" localSheetId="2">BLCH</definedName>
    <definedName name="영구">BLCH</definedName>
    <definedName name="예" localSheetId="2">BLCH</definedName>
    <definedName name="예">BLCH</definedName>
    <definedName name="예삼ㄴ" localSheetId="2">BLCH</definedName>
    <definedName name="예삼ㄴ">BLCH</definedName>
    <definedName name="오">#REF!</definedName>
    <definedName name="옥외공사" hidden="1">{#N/A,#N/A,FALSE,"이태원철근"}</definedName>
    <definedName name="옥외대비" hidden="1">{#N/A,#N/A,FALSE,"이태원철근"}</definedName>
    <definedName name="옥외토공" localSheetId="2">BLCH</definedName>
    <definedName name="옥외토공">BLCH</definedName>
    <definedName name="우동신문" hidden="1">{#N/A,#N/A,FALSE,"이태원철근"}</definedName>
    <definedName name="원본2" hidden="1">#REF!</definedName>
    <definedName name="월드건설" hidden="1">{#N/A,#N/A,FALSE,"이태원철근"}</definedName>
    <definedName name="유가증권" hidden="1">{#N/A,#N/A,FALSE,"Aging Summary";#N/A,#N/A,FALSE,"Ratio Analysis";#N/A,#N/A,FALSE,"Test 120 Day Accts";#N/A,#N/A,FALSE,"Tickmarks"}</definedName>
    <definedName name="이" hidden="1">#REF!</definedName>
    <definedName name="이공구가설비">NA()</definedName>
    <definedName name="이공구간접노무비">NA()</definedName>
    <definedName name="이공구공사원가">NA()</definedName>
    <definedName name="이공구기타경비">NA()</definedName>
    <definedName name="이공구부가가치세">NA()</definedName>
    <definedName name="이공구산재보험료">NA()</definedName>
    <definedName name="이공구안전관리비">NA()</definedName>
    <definedName name="이공구이윤">NA()</definedName>
    <definedName name="이공구일반관리비">NA()</definedName>
    <definedName name="이동" hidden="1">{#N/A,#N/A,FALSE,"이태원철근"}</definedName>
    <definedName name="이동이" hidden="1">{#N/A,#N/A,FALSE,"이태원철근"}</definedName>
    <definedName name="이읏ㄷ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이잉ㅇㅇ" hidden="1">{#N/A,#N/A,FALSE,"이태원철근"}</definedName>
    <definedName name="이자비용" hidden="1">#REF!</definedName>
    <definedName name="인쇄1">#REF!</definedName>
    <definedName name="일.화장실및관리실">NA()</definedName>
    <definedName name="일공구가설비">NA()</definedName>
    <definedName name="일공구간접노무비">NA()</definedName>
    <definedName name="일공구공사원가">NA()</definedName>
    <definedName name="일공구기계경비">NA()</definedName>
    <definedName name="일공구기타경비">NA()</definedName>
    <definedName name="일공구도급공사비">NA()</definedName>
    <definedName name="일공구부가가치세">NA()</definedName>
    <definedName name="일공구산재보험료">NA()</definedName>
    <definedName name="일공구안전관리비">NA()</definedName>
    <definedName name="일공구이윤">NA()</definedName>
    <definedName name="일공구일반관리비">NA()</definedName>
    <definedName name="일공구직영비">NA()</definedName>
    <definedName name="일공구직접노무비">NA()</definedName>
    <definedName name="일공구직접재료비">NA()</definedName>
    <definedName name="일공구품질관리비">NA()</definedName>
    <definedName name="일반관리비">4.02%</definedName>
    <definedName name="일자">#REF!</definedName>
    <definedName name="일정" hidden="1">{#N/A,#N/A,FALSE,"이태원철근"}</definedName>
    <definedName name="일정2" hidden="1">{#N/A,#N/A,FALSE,"이태원철근"}</definedName>
    <definedName name="일정4" hidden="1">{#N/A,#N/A,FALSE,"이태원철근"}</definedName>
    <definedName name="일정표" hidden="1">{#N/A,#N/A,FALSE,"이태원철근"}</definedName>
    <definedName name="입금구분">#REF!</definedName>
    <definedName name="ㅈ" hidden="1">{#N/A,#N/A,FALSE,"이태원철근"}</definedName>
    <definedName name="ㅈㅈ" hidden="1">#REF!</definedName>
    <definedName name="자본금" hidden="1">{#N/A,#N/A,FALSE,"Aging Summary";#N/A,#N/A,FALSE,"Ratio Analysis";#N/A,#N/A,FALSE,"Test 120 Day Accts";#N/A,#N/A,FALSE,"Tickmarks"}</definedName>
    <definedName name="자재집계5" localSheetId="2">BLCH</definedName>
    <definedName name="자재집계5">BLCH</definedName>
    <definedName name="잔금일자">#REF!</definedName>
    <definedName name="잘">#REF!</definedName>
    <definedName name="잡자재비">2%</definedName>
    <definedName name="장순상">#REF!</definedName>
    <definedName name="전">#REF!</definedName>
    <definedName name="전선관부속품비">15%</definedName>
    <definedName name="전체">#REF!</definedName>
    <definedName name="전체동호수">#REF!</definedName>
    <definedName name="절" hidden="1">#REF!</definedName>
    <definedName name="정계약">#REF!</definedName>
    <definedName name="정계약동호수">#REF!</definedName>
    <definedName name="제잡">NA()</definedName>
    <definedName name="조건_입력">#REF!</definedName>
    <definedName name="조건임">#REF!</definedName>
    <definedName name="조달조정액">#REF!</definedName>
    <definedName name="조직">#REF!</definedName>
    <definedName name="조직구분">#REF!</definedName>
    <definedName name="조직표">#REF!</definedName>
    <definedName name="조직현황1" localSheetId="2">BLCH</definedName>
    <definedName name="조직현황1">BLCH</definedName>
    <definedName name="종현" localSheetId="2">BLCH</definedName>
    <definedName name="종현">BLCH</definedName>
    <definedName name="죽전5차" hidden="1">{#N/A,#N/A,FALSE,"이태원철근"}</definedName>
    <definedName name="준공완성예측">#REF!</definedName>
    <definedName name="중3류31호">{"'도로'!$A$2:$N$42"}</definedName>
    <definedName name="중5">#REF!</definedName>
    <definedName name="중6">#REF!</definedName>
    <definedName name="중대가시설2">NA()</definedName>
    <definedName name="지수_멀티룸">#REF!</definedName>
    <definedName name="지수_층">#REF!</definedName>
    <definedName name="지수_타입">#REF!</definedName>
    <definedName name="지수_프레임">#REF!</definedName>
    <definedName name="지수_향">#REF!</definedName>
    <definedName name="지역1">#REF!</definedName>
    <definedName name="지역2">#REF!</definedName>
    <definedName name="지역3">#REF!</definedName>
    <definedName name="지역4">#REF!</definedName>
    <definedName name="지주">NA()</definedName>
    <definedName name="지주목" localSheetId="2">BLCH</definedName>
    <definedName name="지주목">BLCH</definedName>
    <definedName name="직영비">NA()</definedName>
    <definedName name="직원">#REF!</definedName>
    <definedName name="집계표2" localSheetId="2">집계</definedName>
    <definedName name="집계표2">집계</definedName>
    <definedName name="ㅈㄳㄹ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ㅊㅊㅊ">NA()</definedName>
    <definedName name="ㅊㅊㅍ">{0,0,0,0;0,0,0,0;0,0,0,0}</definedName>
    <definedName name="차">#REF!</definedName>
    <definedName name="차입금이자율">#REF!</definedName>
    <definedName name="착공전개업월수">#REF!</definedName>
    <definedName name="총">#REF!</definedName>
    <definedName name="최종조정">#REF!</definedName>
    <definedName name="추가조달비율">#REF!</definedName>
    <definedName name="ㅋㅋㅋ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ㅋㅋㅋㅋ" hidden="1">{#N/A,#N/A,FALSE,"Aging Summary";#N/A,#N/A,FALSE,"Ratio Analysis";#N/A,#N/A,FALSE,"Test 120 Day Accts";#N/A,#N/A,FALSE,"Tickmarks"}</definedName>
    <definedName name="ㅌㅌㅌ" localSheetId="2">BM</definedName>
    <definedName name="ㅌㅌㅌ">BM</definedName>
    <definedName name="타입1">#REF!</definedName>
    <definedName name="타입2">#REF!</definedName>
    <definedName name="템플리트모듈10" localSheetId="2">BLCH</definedName>
    <definedName name="템플리트모듈10">BLCH</definedName>
    <definedName name="템플리트모듈6" localSheetId="2">dmltjd</definedName>
    <definedName name="템플리트모듈6">dmltjd</definedName>
    <definedName name="토공자기자본비율">#REF!</definedName>
    <definedName name="토목공사" hidden="1">{#N/A,#N/A,FALSE,"이태원철근"}</definedName>
    <definedName name="토목공사강릉" hidden="1">#REF!</definedName>
    <definedName name="토목실견적" hidden="1">{#N/A,#N/A,FALSE,"이태원철근"}</definedName>
    <definedName name="토목집계">#REF!</definedName>
    <definedName name="팀">#REF!</definedName>
    <definedName name="파견" localSheetId="2">정수</definedName>
    <definedName name="파견">정수</definedName>
    <definedName name="평">#REF!</definedName>
    <definedName name="평균단가" localSheetId="2">정수</definedName>
    <definedName name="평균단가">정수</definedName>
    <definedName name="평균이자율" hidden="1">#REF!</definedName>
    <definedName name="폐기물내역서" localSheetId="2">옵션!템플리트모듈6</definedName>
    <definedName name="폐기물내역서">템플리트모듈6</definedName>
    <definedName name="폐기물집계표" localSheetId="2">집계</definedName>
    <definedName name="폐기물집계표">집계</definedName>
    <definedName name="포장공" localSheetId="2">BLCH</definedName>
    <definedName name="포장공">BLCH</definedName>
    <definedName name="포장공1" localSheetId="2">BLCH</definedName>
    <definedName name="포장공1">BLCH</definedName>
    <definedName name="품_______">NA()</definedName>
    <definedName name="풍납동" hidden="1">#REF!</definedName>
    <definedName name="풍납동아파트" hidden="1">#REF!</definedName>
    <definedName name="피로티" hidden="1">{#N/A,#N/A,FALSE,"이태원철근"}</definedName>
    <definedName name="피로티1" hidden="1">{#N/A,#N/A,FALSE,"이태원철근"}</definedName>
    <definedName name="ㅎㅇ" hidden="1">{#N/A,#N/A,FALSE,"Aging Summary";#N/A,#N/A,FALSE,"Ratio Analysis";#N/A,#N/A,FALSE,"Test 120 Day Accts";#N/A,#N/A,FALSE,"Tickmarks"}</definedName>
    <definedName name="ㅎㅎ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하이이" hidden="1">{#N/A,#N/A,FALSE,"이태원철근"}</definedName>
    <definedName name="합계잔액시산표1">#REF!</definedName>
    <definedName name="해약일자">#REF!</definedName>
    <definedName name="해지">#REF!</definedName>
    <definedName name="현금등가물" hidden="1">{#N/A,#N/A,FALSE,"Aging Summary";#N/A,#N/A,FALSE,"Ratio Analysis";#N/A,#N/A,FALSE,"Test 120 Day Accts";#N/A,#N/A,FALSE,"Tickmarks"}</definedName>
    <definedName name="현금등가물및단기" hidden="1">{#N/A,#N/A,FALSE,"Aging Summary";#N/A,#N/A,FALSE,"Ratio Analysis";#N/A,#N/A,FALSE,"Test 120 Day Accts";#N/A,#N/A,FALSE,"Tickmarks"}</definedName>
    <definedName name="현금흐름" hidden="1">{#N/A,#N/A,FALSE,"Aging Summary";#N/A,#N/A,FALSE,"Ratio Analysis";#N/A,#N/A,FALSE,"Test 120 Day Accts";#N/A,#N/A,FALSE,"Tickmarks"}</definedName>
    <definedName name="현재가치할인율">#REF!</definedName>
    <definedName name="협조전" hidden="1">#REF!</definedName>
    <definedName name="호실2" hidden="1">#REF!</definedName>
    <definedName name="호ㅓ" hidden="1">#REF!</definedName>
    <definedName name="홀딩">#REF!</definedName>
    <definedName name="환경보전비">0.2%</definedName>
    <definedName name="효구" localSheetId="2">dmltjd</definedName>
    <definedName name="효구">dmltjd</definedName>
    <definedName name="효자" localSheetId="2">dmltjd</definedName>
    <definedName name="효자">dmltjd</definedName>
    <definedName name="효자건설" localSheetId="2">dmltjd</definedName>
    <definedName name="효자건설">dmltjd</definedName>
    <definedName name="ㅀ" hidden="1">#REF!</definedName>
    <definedName name="ㅀ넌">{0,0,0,0}</definedName>
    <definedName name="ㅀㅇㅀ" hidden="1">{#N/A,#N/A,FALSE,"이태원철근"}</definedName>
    <definedName name="ㅏ" hidden="1">{#N/A,#N/A,FALSE,"이태원철근"}</definedName>
    <definedName name="ㅐ" hidden="1">{#N/A,#N/A,FALSE,"이태원철근"}</definedName>
    <definedName name="ㅓ" hidden="1">{#N/A,#N/A,FALSE,"이태원철근"}</definedName>
    <definedName name="ㅓㅏㅏㅣ" localSheetId="2">BM</definedName>
    <definedName name="ㅓㅏㅏㅣ">BM</definedName>
    <definedName name="ㅓㅑ">#REF!</definedName>
    <definedName name="ㅔ" hidden="1">{#N/A,#N/A,FALSE,"이태원철근"}</definedName>
    <definedName name="ㅔㅐ">#REF!</definedName>
    <definedName name="ㅗ" hidden="1">{#N/A,#N/A,FALSE,"이태원철근"}</definedName>
    <definedName name="ㅗㄹ호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ㅛ" hidden="1">{#N/A,#N/A,FALSE,"이태원철근"}</definedName>
    <definedName name="ㅛㅛㅛ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ㅜㅊ426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ㅠ" hidden="1">{#N/A,#N/A,FALSE,"이태원철근"}</definedName>
    <definedName name="ㅡ" hidden="1">{#N/A,#N/A,FALSE,"이태원철근"}</definedName>
    <definedName name="ㅣㅣㅣ" hidden="1">25</definedName>
    <definedName name="ㄺ" hidden="1">{#N/A,#N/A,FALSE,"Aging Summary";#N/A,#N/A,FALSE,"Ratio Analysis";#N/A,#N/A,FALSE,"Test 120 Day Accts";#N/A,#N/A,FALSE,"Tickmarks"}</definedName>
    <definedName name="A" hidden="1">{#N/A,#N/A,FALSE,"이태원철근"}</definedName>
    <definedName name="AAA">#REF!</definedName>
    <definedName name="aaaa" hidden="1">#REF!</definedName>
    <definedName name="ab">1</definedName>
    <definedName name="AC">{0}</definedName>
    <definedName name="AccessDatabase" hidden="1">"C:\MSOffice\감가상각\depreciation.mdb"</definedName>
    <definedName name="adsas" hidden="1">{#N/A,#N/A,FALSE,"Aging Summary";#N/A,#N/A,FALSE,"Ratio Analysis";#N/A,#N/A,FALSE,"Test 120 Day Accts";#N/A,#N/A,FALSE,"Tickmarks"}</definedName>
    <definedName name="AG">{0}</definedName>
    <definedName name="anscount">2</definedName>
    <definedName name="AS2DocOpenMode" hidden="1">"AS2DocumentEdit"</definedName>
    <definedName name="B" hidden="1">{#N/A,#N/A,FALSE,"이태원철근"}</definedName>
    <definedName name="BB" hidden="1">{#N/A,#N/A,FALSE,"이태원철근"}</definedName>
    <definedName name="bbb">NA()</definedName>
    <definedName name="BC" hidden="1">{#N/A,#N/A,FALSE,"이태원철근"}</definedName>
    <definedName name="BI" hidden="1">{#N/A,#N/A,FALSE,"이태원철근"}</definedName>
    <definedName name="BT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BuiltIn_Print_Area___1">NA()</definedName>
    <definedName name="BuiltIn_Print_Area___1___0">NA()</definedName>
    <definedName name="BuiltIn_Print_Area___2">NA()</definedName>
    <definedName name="BuiltIn_Print_Area___2___0">NA()</definedName>
    <definedName name="BuiltIn_Print_Area___3">NA()</definedName>
    <definedName name="BuiltIn_Print_Area___3___0">NA()</definedName>
    <definedName name="CATEGORY">NA()</definedName>
    <definedName name="cf" hidden="1">#REF!</definedName>
    <definedName name="CHO">NA()</definedName>
    <definedName name="comp">#REF!</definedName>
    <definedName name="COMPANY">NA()</definedName>
    <definedName name="CONC">NA()</definedName>
    <definedName name="_xlnm.Database">#REF!</definedName>
    <definedName name="DAY">NA()</definedName>
    <definedName name="Days">#REF!</definedName>
    <definedName name="DDDDA" localSheetId="2">BLCH</definedName>
    <definedName name="DDDDA">BLCH</definedName>
    <definedName name="ddyw">{0}</definedName>
    <definedName name="deduction">#REF!</definedName>
    <definedName name="DETAIL">NA()</definedName>
    <definedName name="DF" hidden="1">{#N/A,#N/A,FALSE,"Aging Summary";#N/A,#N/A,FALSE,"Ratio Analysis";#N/A,#N/A,FALSE,"Test 120 Day Accts";#N/A,#N/A,FALSE,"Tickmarks"}</definedName>
    <definedName name="DFDF" hidden="1">{#N/A,#N/A,FALSE,"Aging Summary";#N/A,#N/A,FALSE,"Ratio Analysis";#N/A,#N/A,FALSE,"Test 120 Day Accts";#N/A,#N/A,FALSE,"Tickmarks"}</definedName>
    <definedName name="dhrt">{0,0,0,0}</definedName>
    <definedName name="DKJFL" localSheetId="2">BLCH</definedName>
    <definedName name="DKJFL">BLCH</definedName>
    <definedName name="e">#REF!</definedName>
    <definedName name="ENCOST">NA()</definedName>
    <definedName name="EREW">NA()</definedName>
    <definedName name="ewqfqewfqwe">{0,0,0,0}</definedName>
    <definedName name="EXE">NA()</definedName>
    <definedName name="F_LVL">NA()</definedName>
    <definedName name="F_PAGE">NA()</definedName>
    <definedName name="F_REMK">NA()</definedName>
    <definedName name="FD">#REF!</definedName>
    <definedName name="FDFD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f" hidden="1">{#N/A,#N/A,FALSE,"Aging Summary";#N/A,#N/A,FALSE,"Ratio Analysis";#N/A,#N/A,FALSE,"Test 120 Day Accts";#N/A,#N/A,FALSE,"Tickmarks"}</definedName>
    <definedName name="FI자기자본비율">#REF!</definedName>
    <definedName name="FirstFinYearEnd">#REF!</definedName>
    <definedName name="g" hidden="1">{#N/A,#N/A,FALSE,"Sheet6"}</definedName>
    <definedName name="GA">#REF!</definedName>
    <definedName name="gdata">OFFSET(NO,0,39,,11)</definedName>
    <definedName name="gg">NA()</definedName>
    <definedName name="GGG" localSheetId="2">BM</definedName>
    <definedName name="GGG">BM</definedName>
    <definedName name="grgtr">{0,0,0,0}</definedName>
    <definedName name="gtr1r5">{0,0,0,0}</definedName>
    <definedName name="HJK" hidden="1">{#N/A,#N/A,FALSE,"이태원철근"}</definedName>
    <definedName name="hjl" hidden="1">{#N/A,#N/A,FALSE,"이태원철근"}</definedName>
    <definedName name="hkl" hidden="1">{#N/A,#N/A,FALSE,"이태원철근"}</definedName>
    <definedName name="HTML_CodePage" hidden="1">949</definedName>
    <definedName name="HTML_Control">{"'표지'!$E$8"}</definedName>
    <definedName name="HTML_Description" hidden="1">""</definedName>
    <definedName name="HTML_Email" hidden="1">""</definedName>
    <definedName name="HTML_Header" hidden="1">"Sheet1"</definedName>
    <definedName name="HTML_LastUpdate" hidden="1">"01-02-01"</definedName>
    <definedName name="HTML_LineAfter" hidden="1">FALSE</definedName>
    <definedName name="HTML_LineBefore" hidden="1">FALSE</definedName>
    <definedName name="HTML_Name" hidden="1">"기획-25"</definedName>
    <definedName name="HTML_OBDlg2" hidden="1">TRUE</definedName>
    <definedName name="HTML_OBDlg4" hidden="1">TRUE</definedName>
    <definedName name="HTML_OS" hidden="1">0</definedName>
    <definedName name="HTML_PathFile" hidden="1">"C:\My Documents\산업단지.htm"</definedName>
    <definedName name="HTML_Title" hidden="1">"s5-5산업 및 경제"</definedName>
    <definedName name="HTR" hidden="1">{#N/A,#N/A,FALSE,"이태원철근"}</definedName>
    <definedName name="id">#REF!</definedName>
    <definedName name="KH">#REF!</definedName>
    <definedName name="KJ">#REF!</definedName>
    <definedName name="KJJ">#REF!</definedName>
    <definedName name="KKKK" localSheetId="2">BM</definedName>
    <definedName name="KKKK">BM</definedName>
    <definedName name="km">{0,0,0,0}</definedName>
    <definedName name="Macro1">#REF!</definedName>
    <definedName name="Macro2">NA()</definedName>
    <definedName name="Macro4">NA()</definedName>
    <definedName name="MH_소수점">#REF!</definedName>
    <definedName name="MJ">#REF!</definedName>
    <definedName name="mmm" hidden="1">#REF!</definedName>
    <definedName name="MMMM" localSheetId="2">BM</definedName>
    <definedName name="MMMM">BM</definedName>
    <definedName name="N">NA()</definedName>
    <definedName name="NAK">NA()</definedName>
    <definedName name="NO">NA()</definedName>
    <definedName name="OpnStartDate">#REF!</definedName>
    <definedName name="other">#REF!</definedName>
    <definedName name="PJT">NA()</definedName>
    <definedName name="POR3C41R52C44RTSKS13C5LRTHDLTBD">#REF!</definedName>
    <definedName name="POR3C56R44C76RTSKS15C5LRTHDLTBD">#REF!</definedName>
    <definedName name="POR6C20R55C38RTSKS13C5LRTHDLTBD">#REF!</definedName>
    <definedName name="POR7C2R58C18RTSKS13C5LRTHDLTBDL">#REF!</definedName>
    <definedName name="POR8C46R200C54RTSKS13C6LRTHR3C4">#REF!</definedName>
    <definedName name="PQ점수">"Dialog Frame 1"</definedName>
    <definedName name="_xlnm.Print_Area" localSheetId="2">옵션!$B$2:$G$302</definedName>
    <definedName name="_xlnm.Print_Area">#REF!</definedName>
    <definedName name="Print_Area_MI">#REF!</definedName>
    <definedName name="_xlnm.Print_Titles" localSheetId="2">옵션!$2:$2</definedName>
    <definedName name="_xlnm.Print_Titles">#REF!</definedName>
    <definedName name="Print_Titles_MI">#REF!,#REF!</definedName>
    <definedName name="PROJECT">NA()</definedName>
    <definedName name="Q">#REF!</definedName>
    <definedName name="qqqq" localSheetId="2">dmltjd</definedName>
    <definedName name="qqqq">dmltjd</definedName>
    <definedName name="QW" hidden="1">{#N/A,#N/A,FALSE,"이태원철근"}</definedName>
    <definedName name="QWE" hidden="1">{#N/A,#N/A,FALSE,"이태원철근"}</definedName>
    <definedName name="QWER" hidden="1">{#N/A,#N/A,FALSE,"이태원철근"}</definedName>
    <definedName name="REM">NA()</definedName>
    <definedName name="REMK">NA()</definedName>
    <definedName name="RF" localSheetId="2">BLCH</definedName>
    <definedName name="RF">BLCH</definedName>
    <definedName name="RJRJ" localSheetId="2">BLCH</definedName>
    <definedName name="RJRJ">BLCH</definedName>
    <definedName name="RJRKJRKJR" localSheetId="2">BLCH</definedName>
    <definedName name="RJRKJRKJR">BLCH</definedName>
    <definedName name="RL" localSheetId="2">BLCH</definedName>
    <definedName name="RL">BLCH</definedName>
    <definedName name="RLTJD" localSheetId="2">BLCH</definedName>
    <definedName name="RLTJD">BLCH</definedName>
    <definedName name="rowclm">MOD(ROW(),2)</definedName>
    <definedName name="RT" hidden="1">{#N/A,#N/A,FALSE,"이태원철근"}</definedName>
    <definedName name="s">BLCH</definedName>
    <definedName name="SAPBEXdnldView" hidden="1">"3TQJ5PWZQ85MUZZ9HFMZG8QFM"</definedName>
    <definedName name="SAPBEXrevision" hidden="1">5</definedName>
    <definedName name="SAPBEXsysID" hidden="1">"PBW"</definedName>
    <definedName name="SAPBEXwbID" hidden="1">"461MV176AFZ8EMO9X5CXOB1LL"</definedName>
    <definedName name="SAPFuncF4Help" localSheetId="2">Main.SAPF4Help()</definedName>
    <definedName name="SAPFuncF4Help">Main.SAPF4Help()</definedName>
    <definedName name="Scenario_No.">#REF!</definedName>
    <definedName name="SELECT">NA()</definedName>
    <definedName name="sencount">1</definedName>
    <definedName name="SEQU">NA()</definedName>
    <definedName name="SERVICE" hidden="1">{#N/A,#N/A,FALSE,"이태원철근"}</definedName>
    <definedName name="SEXP">NA()</definedName>
    <definedName name="SI자기자본비율">#REF!</definedName>
    <definedName name="SIZE">NA()</definedName>
    <definedName name="SLAB">NA()</definedName>
    <definedName name="SMAT">NA()</definedName>
    <definedName name="SMHR">NA()</definedName>
    <definedName name="solver_cvg">0.001</definedName>
    <definedName name="solver_drv">1</definedName>
    <definedName name="solver_est">1</definedName>
    <definedName name="solver_itr">100</definedName>
    <definedName name="solver_lhs1" hidden="1">#REF!</definedName>
    <definedName name="solver_lin">2</definedName>
    <definedName name="solver_neg">2</definedName>
    <definedName name="solver_num">0</definedName>
    <definedName name="solver_nwt">1</definedName>
    <definedName name="solver_pre">0.000001</definedName>
    <definedName name="solver_rel1">1</definedName>
    <definedName name="solver_rhs1" hidden="1">#REF!*1.5</definedName>
    <definedName name="solver_rhs3" localSheetId="2">정수</definedName>
    <definedName name="solver_rhs3">정수</definedName>
    <definedName name="solver_rhs4" localSheetId="2">정수</definedName>
    <definedName name="solver_rhs4">정수</definedName>
    <definedName name="solver_scl">2</definedName>
    <definedName name="solver_sho">2</definedName>
    <definedName name="solver_tim">100</definedName>
    <definedName name="solver_tol">0.05</definedName>
    <definedName name="solver_typ">1</definedName>
    <definedName name="solver_val">0</definedName>
    <definedName name="SSSS" localSheetId="2">BM</definedName>
    <definedName name="SSSS">BM</definedName>
    <definedName name="SUYO">NA()</definedName>
    <definedName name="TaxTV">10%</definedName>
    <definedName name="TaxXL">5%</definedName>
    <definedName name="tdgbfjhygcfbhy">{0,0,0,0}</definedName>
    <definedName name="TextRefCopyRangeCount" hidden="1">1</definedName>
    <definedName name="tgrt">{0,0,0,0}</definedName>
    <definedName name="TOO">NA()</definedName>
    <definedName name="TOTAL">NA()</definedName>
    <definedName name="UNIT">NA()</definedName>
    <definedName name="VB" hidden="1">{#N/A,#N/A,FALSE,"이태원철근"}</definedName>
    <definedName name="VBN" hidden="1">{#N/A,#N/A,FALSE,"이태원철근"}</definedName>
    <definedName name="vvv">NA()</definedName>
    <definedName name="VVVVVV" localSheetId="2">BM</definedName>
    <definedName name="VVVVVV">BM</definedName>
    <definedName name="wergwr" hidden="1">#REF!</definedName>
    <definedName name="wrn.간단한세무조정계산서.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감가." hidden="1">{#N/A,#N/A,FALSE,"buildings"}</definedName>
    <definedName name="wrn.세무조정계산서.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모든양식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이태원._.철근." hidden="1">{#N/A,#N/A,FALSE,"이태원철근"}</definedName>
    <definedName name="wrn.집기비품보고서._.품목별._.및._.현장별._.집계표." hidden="1">{#N/A,#N/A,FALSE,"Sheet6"}</definedName>
    <definedName name="wrn.Aging._.and._.Trend._.Analysis." hidden="1">{#N/A,#N/A,FALSE,"Aging Summary";#N/A,#N/A,FALSE,"Ratio Analysis";#N/A,#N/A,FALSE,"Test 120 Day Accts";#N/A,#N/A,FALSE,"Tickmarks"}</definedName>
    <definedName name="wrn.jck94TAXRETURN.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X">#REF!</definedName>
    <definedName name="XRefCopyRangeCount">4</definedName>
    <definedName name="YE">NA()</definedName>
    <definedName name="YEKA">NA()</definedName>
    <definedName name="yrtju67i">{0,0,0,0}</definedName>
    <definedName name="Z">#REF!</definedName>
    <definedName name="ZXC" hidden="1">{#N/A,#N/A,FALSE,"이태원철근"}</definedName>
    <definedName name="π">PI()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02" i="3" l="1"/>
  <c r="F302" i="3"/>
  <c r="H301" i="3"/>
  <c r="F301" i="3"/>
  <c r="H300" i="3"/>
  <c r="F300" i="3"/>
  <c r="H299" i="3"/>
  <c r="F299" i="3"/>
  <c r="H298" i="3"/>
  <c r="F298" i="3"/>
  <c r="H297" i="3"/>
  <c r="F297" i="3"/>
  <c r="H296" i="3"/>
  <c r="F296" i="3"/>
  <c r="H295" i="3"/>
  <c r="F295" i="3"/>
  <c r="H294" i="3"/>
  <c r="F294" i="3"/>
  <c r="H293" i="3"/>
  <c r="F293" i="3"/>
  <c r="H292" i="3"/>
  <c r="F292" i="3"/>
  <c r="H291" i="3"/>
  <c r="F291" i="3"/>
  <c r="H290" i="3"/>
  <c r="F290" i="3"/>
  <c r="H289" i="3"/>
  <c r="F289" i="3"/>
  <c r="H288" i="3"/>
  <c r="F288" i="3"/>
  <c r="H287" i="3"/>
  <c r="F287" i="3"/>
  <c r="H286" i="3"/>
  <c r="F286" i="3"/>
  <c r="H285" i="3"/>
  <c r="F285" i="3"/>
  <c r="H284" i="3"/>
  <c r="F284" i="3"/>
  <c r="H283" i="3"/>
  <c r="F283" i="3"/>
  <c r="H282" i="3"/>
  <c r="F282" i="3"/>
  <c r="H281" i="3"/>
  <c r="F281" i="3"/>
  <c r="H280" i="3"/>
  <c r="F280" i="3"/>
  <c r="H279" i="3"/>
  <c r="F279" i="3"/>
  <c r="H278" i="3"/>
  <c r="F278" i="3"/>
  <c r="H277" i="3"/>
  <c r="F277" i="3"/>
  <c r="H276" i="3"/>
  <c r="F276" i="3"/>
  <c r="H275" i="3"/>
  <c r="F275" i="3"/>
  <c r="H274" i="3"/>
  <c r="F274" i="3"/>
  <c r="H273" i="3"/>
  <c r="F273" i="3"/>
  <c r="H272" i="3"/>
  <c r="F272" i="3"/>
  <c r="H271" i="3"/>
  <c r="F271" i="3"/>
  <c r="H270" i="3"/>
  <c r="F270" i="3"/>
  <c r="H269" i="3"/>
  <c r="F269" i="3"/>
  <c r="H268" i="3"/>
  <c r="F268" i="3"/>
  <c r="H267" i="3"/>
  <c r="F267" i="3"/>
  <c r="H266" i="3"/>
  <c r="F266" i="3"/>
  <c r="H265" i="3"/>
  <c r="F265" i="3"/>
  <c r="H264" i="3"/>
  <c r="F264" i="3"/>
  <c r="H263" i="3"/>
  <c r="F263" i="3"/>
  <c r="H262" i="3"/>
  <c r="F262" i="3"/>
  <c r="H261" i="3"/>
  <c r="F261" i="3"/>
  <c r="H260" i="3"/>
  <c r="F260" i="3"/>
  <c r="H259" i="3"/>
  <c r="F259" i="3"/>
  <c r="H258" i="3"/>
  <c r="F258" i="3"/>
  <c r="H257" i="3"/>
  <c r="F257" i="3"/>
  <c r="H256" i="3"/>
  <c r="F256" i="3"/>
  <c r="H255" i="3"/>
  <c r="F255" i="3"/>
  <c r="H254" i="3"/>
  <c r="F254" i="3"/>
  <c r="H253" i="3"/>
  <c r="F253" i="3"/>
  <c r="H252" i="3"/>
  <c r="F252" i="3"/>
  <c r="H251" i="3"/>
  <c r="F251" i="3"/>
  <c r="H250" i="3"/>
  <c r="F250" i="3"/>
  <c r="H249" i="3"/>
  <c r="F249" i="3"/>
  <c r="H248" i="3"/>
  <c r="F248" i="3"/>
  <c r="H247" i="3"/>
  <c r="F247" i="3"/>
  <c r="H246" i="3"/>
  <c r="F246" i="3"/>
  <c r="H245" i="3"/>
  <c r="F245" i="3"/>
  <c r="H244" i="3"/>
  <c r="F244" i="3"/>
  <c r="H243" i="3"/>
  <c r="F243" i="3"/>
  <c r="H242" i="3"/>
  <c r="F242" i="3"/>
  <c r="H241" i="3"/>
  <c r="F241" i="3"/>
  <c r="H240" i="3"/>
  <c r="F240" i="3"/>
  <c r="H239" i="3"/>
  <c r="F239" i="3"/>
  <c r="H238" i="3"/>
  <c r="F238" i="3"/>
  <c r="H237" i="3"/>
  <c r="F237" i="3"/>
  <c r="H236" i="3"/>
  <c r="F236" i="3"/>
  <c r="H235" i="3"/>
  <c r="F235" i="3"/>
  <c r="H234" i="3"/>
  <c r="F234" i="3"/>
  <c r="H233" i="3"/>
  <c r="F233" i="3"/>
  <c r="H232" i="3"/>
  <c r="F232" i="3"/>
  <c r="H231" i="3"/>
  <c r="F231" i="3"/>
  <c r="H230" i="3"/>
  <c r="F230" i="3"/>
  <c r="H229" i="3"/>
  <c r="F229" i="3"/>
  <c r="H228" i="3"/>
  <c r="F228" i="3"/>
  <c r="H227" i="3"/>
  <c r="F227" i="3"/>
  <c r="H226" i="3"/>
  <c r="F226" i="3"/>
  <c r="H225" i="3"/>
  <c r="F225" i="3"/>
  <c r="H224" i="3"/>
  <c r="F224" i="3"/>
  <c r="H223" i="3"/>
  <c r="F223" i="3"/>
  <c r="H222" i="3"/>
  <c r="F222" i="3"/>
  <c r="H221" i="3"/>
  <c r="F221" i="3"/>
  <c r="H220" i="3"/>
  <c r="F220" i="3"/>
  <c r="H219" i="3"/>
  <c r="F219" i="3"/>
  <c r="H218" i="3"/>
  <c r="F218" i="3"/>
  <c r="H217" i="3"/>
  <c r="F217" i="3"/>
  <c r="H216" i="3"/>
  <c r="F216" i="3"/>
  <c r="H215" i="3"/>
  <c r="F215" i="3"/>
  <c r="H214" i="3"/>
  <c r="F214" i="3"/>
  <c r="H213" i="3"/>
  <c r="F213" i="3"/>
  <c r="H212" i="3"/>
  <c r="F212" i="3"/>
  <c r="H211" i="3"/>
  <c r="F211" i="3"/>
  <c r="H210" i="3"/>
  <c r="F210" i="3"/>
  <c r="H209" i="3"/>
  <c r="F209" i="3"/>
  <c r="H208" i="3"/>
  <c r="F208" i="3"/>
  <c r="H207" i="3"/>
  <c r="F207" i="3"/>
  <c r="H206" i="3"/>
  <c r="F206" i="3"/>
  <c r="H205" i="3"/>
  <c r="F205" i="3"/>
  <c r="H204" i="3"/>
  <c r="F204" i="3"/>
  <c r="H203" i="3"/>
  <c r="F203" i="3"/>
  <c r="H202" i="3"/>
  <c r="F202" i="3"/>
  <c r="H201" i="3"/>
  <c r="F201" i="3"/>
  <c r="H200" i="3"/>
  <c r="F200" i="3"/>
  <c r="H199" i="3"/>
  <c r="F199" i="3"/>
  <c r="H198" i="3"/>
  <c r="F198" i="3"/>
  <c r="H197" i="3"/>
  <c r="F197" i="3"/>
  <c r="H196" i="3"/>
  <c r="F196" i="3"/>
  <c r="H195" i="3"/>
  <c r="F195" i="3"/>
  <c r="H194" i="3"/>
  <c r="F194" i="3"/>
  <c r="H193" i="3"/>
  <c r="F193" i="3"/>
  <c r="H192" i="3"/>
  <c r="F192" i="3"/>
  <c r="H191" i="3"/>
  <c r="F191" i="3"/>
  <c r="H190" i="3"/>
  <c r="F190" i="3"/>
  <c r="H189" i="3"/>
  <c r="F189" i="3"/>
  <c r="H188" i="3"/>
  <c r="F188" i="3"/>
  <c r="H187" i="3"/>
  <c r="F187" i="3"/>
  <c r="H186" i="3"/>
  <c r="F186" i="3"/>
  <c r="H185" i="3"/>
  <c r="F185" i="3"/>
  <c r="H184" i="3"/>
  <c r="F184" i="3"/>
  <c r="H183" i="3"/>
  <c r="F183" i="3"/>
  <c r="H182" i="3"/>
  <c r="F182" i="3"/>
  <c r="H181" i="3"/>
  <c r="F181" i="3"/>
  <c r="H180" i="3"/>
  <c r="F180" i="3"/>
  <c r="H179" i="3"/>
  <c r="F179" i="3"/>
  <c r="H178" i="3"/>
  <c r="F178" i="3"/>
  <c r="H177" i="3"/>
  <c r="F177" i="3"/>
  <c r="H176" i="3"/>
  <c r="F176" i="3"/>
  <c r="H175" i="3"/>
  <c r="F175" i="3"/>
  <c r="H174" i="3"/>
  <c r="F174" i="3"/>
  <c r="H173" i="3"/>
  <c r="F173" i="3"/>
  <c r="H172" i="3"/>
  <c r="F172" i="3"/>
  <c r="H171" i="3"/>
  <c r="F171" i="3"/>
  <c r="H170" i="3"/>
  <c r="F170" i="3"/>
  <c r="H169" i="3"/>
  <c r="F169" i="3"/>
  <c r="H168" i="3"/>
  <c r="F168" i="3"/>
  <c r="H167" i="3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O13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O5" i="3"/>
  <c r="H5" i="3"/>
  <c r="F5" i="3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basalt .</author>
  </authors>
  <commentList>
    <comment ref="C115" authorId="0" shapeId="0" xr:uid="{BD06A00C-324A-497E-BB07-8F5C40454FF6}">
      <text>
        <r>
          <rPr>
            <b/>
            <sz val="9"/>
            <color indexed="81"/>
            <rFont val="Tahoma"/>
            <family val="2"/>
          </rPr>
          <t>52B 
18F : 1</t>
        </r>
        <r>
          <rPr>
            <b/>
            <sz val="9"/>
            <color indexed="81"/>
            <rFont val="돋움"/>
            <family val="3"/>
            <charset val="129"/>
          </rPr>
          <t>세대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대피공간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상이
</t>
        </r>
        <r>
          <rPr>
            <b/>
            <sz val="9"/>
            <color indexed="81"/>
            <rFont val="Tahoma"/>
            <family val="2"/>
          </rPr>
          <t>14~18F : 5</t>
        </r>
        <r>
          <rPr>
            <b/>
            <sz val="9"/>
            <color indexed="81"/>
            <rFont val="돋움"/>
            <family val="3"/>
            <charset val="129"/>
          </rPr>
          <t>세대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창호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有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basalt .</author>
  </authors>
  <commentList>
    <comment ref="D115" authorId="0" shapeId="0" xr:uid="{2EDEB237-FAAB-4547-B31C-CB96231E8CE8}">
      <text>
        <r>
          <rPr>
            <b/>
            <sz val="9"/>
            <color indexed="81"/>
            <rFont val="Tahoma"/>
            <family val="2"/>
          </rPr>
          <t>52B 
18F : 1</t>
        </r>
        <r>
          <rPr>
            <b/>
            <sz val="9"/>
            <color indexed="81"/>
            <rFont val="돋움"/>
            <family val="3"/>
            <charset val="129"/>
          </rPr>
          <t>세대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대피공간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상이
</t>
        </r>
        <r>
          <rPr>
            <b/>
            <sz val="9"/>
            <color indexed="81"/>
            <rFont val="Tahoma"/>
            <family val="2"/>
          </rPr>
          <t>14~18F : 5</t>
        </r>
        <r>
          <rPr>
            <b/>
            <sz val="9"/>
            <color indexed="81"/>
            <rFont val="돋움"/>
            <family val="3"/>
            <charset val="129"/>
          </rPr>
          <t>세대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창호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有</t>
        </r>
      </text>
    </comment>
  </commentList>
</comments>
</file>

<file path=xl/sharedStrings.xml><?xml version="1.0" encoding="utf-8"?>
<sst xmlns="http://schemas.openxmlformats.org/spreadsheetml/2006/main" count="1785" uniqueCount="273">
  <si>
    <t>코드A</t>
    <phoneticPr fontId="5" type="noConversion"/>
  </si>
  <si>
    <t>용도</t>
    <phoneticPr fontId="5" type="noConversion"/>
  </si>
  <si>
    <t>타입</t>
    <phoneticPr fontId="5" type="noConversion"/>
  </si>
  <si>
    <t>동</t>
    <phoneticPr fontId="5" type="noConversion"/>
  </si>
  <si>
    <t>호수</t>
    <phoneticPr fontId="5" type="noConversion"/>
  </si>
  <si>
    <t>도시형생활주택</t>
    <phoneticPr fontId="4" type="noConversion"/>
  </si>
  <si>
    <t>59C</t>
  </si>
  <si>
    <t>59C</t>
    <phoneticPr fontId="4" type="noConversion"/>
  </si>
  <si>
    <t>48B</t>
    <phoneticPr fontId="4" type="noConversion"/>
  </si>
  <si>
    <t>59D</t>
    <phoneticPr fontId="4" type="noConversion"/>
  </si>
  <si>
    <t>52A</t>
    <phoneticPr fontId="4" type="noConversion"/>
  </si>
  <si>
    <t>52A</t>
  </si>
  <si>
    <t>59F</t>
    <phoneticPr fontId="4" type="noConversion"/>
  </si>
  <si>
    <t>55A</t>
    <phoneticPr fontId="4" type="noConversion"/>
  </si>
  <si>
    <t>55A</t>
  </si>
  <si>
    <t>59A</t>
    <phoneticPr fontId="4" type="noConversion"/>
  </si>
  <si>
    <t>59A</t>
  </si>
  <si>
    <t>48A</t>
    <phoneticPr fontId="4" type="noConversion"/>
  </si>
  <si>
    <t>55B</t>
    <phoneticPr fontId="4" type="noConversion"/>
  </si>
  <si>
    <t>59B</t>
    <phoneticPr fontId="4" type="noConversion"/>
  </si>
  <si>
    <t>59E</t>
    <phoneticPr fontId="4" type="noConversion"/>
  </si>
  <si>
    <t>52B</t>
    <phoneticPr fontId="4" type="noConversion"/>
  </si>
  <si>
    <t>52C</t>
    <phoneticPr fontId="4" type="noConversion"/>
  </si>
  <si>
    <t>오피스텔</t>
    <phoneticPr fontId="4" type="noConversion"/>
  </si>
  <si>
    <t>65A</t>
    <phoneticPr fontId="4" type="noConversion"/>
  </si>
  <si>
    <t>65B</t>
    <phoneticPr fontId="4" type="noConversion"/>
  </si>
  <si>
    <t>계약자</t>
    <phoneticPr fontId="5" type="noConversion"/>
  </si>
  <si>
    <t>시트판넬</t>
    <phoneticPr fontId="4" type="noConversion"/>
  </si>
  <si>
    <t>거실 마감재 특화</t>
    <phoneticPr fontId="4" type="noConversion"/>
  </si>
  <si>
    <t>욕실 마감재 특화</t>
    <phoneticPr fontId="4" type="noConversion"/>
  </si>
  <si>
    <t>주방 마감 및 가구 특화</t>
    <phoneticPr fontId="4" type="noConversion"/>
  </si>
  <si>
    <t>드레스룸 특화</t>
    <phoneticPr fontId="4" type="noConversion"/>
  </si>
  <si>
    <t>붙박이장(침실1)</t>
    <phoneticPr fontId="4" type="noConversion"/>
  </si>
  <si>
    <t>붙박이장(침실2)</t>
    <phoneticPr fontId="4" type="noConversion"/>
  </si>
  <si>
    <t>붙박이장(침실3)</t>
    <phoneticPr fontId="4" type="noConversion"/>
  </si>
  <si>
    <t>인덕션(3구)</t>
    <phoneticPr fontId="4" type="noConversion"/>
  </si>
  <si>
    <t>빌트인오븐</t>
    <phoneticPr fontId="4" type="noConversion"/>
  </si>
  <si>
    <t>식기세척기</t>
    <phoneticPr fontId="4" type="noConversion"/>
  </si>
  <si>
    <t>냉장고패키지</t>
    <phoneticPr fontId="4" type="noConversion"/>
  </si>
  <si>
    <t>시스템에어컨</t>
    <phoneticPr fontId="4" type="noConversion"/>
  </si>
  <si>
    <t>비데일체형 양변기(욕실1)</t>
    <phoneticPr fontId="4" type="noConversion"/>
  </si>
  <si>
    <t>비데일체형 양변기(욕실2)</t>
    <phoneticPr fontId="4" type="noConversion"/>
  </si>
  <si>
    <t>비데(욕실1)</t>
    <phoneticPr fontId="4" type="noConversion"/>
  </si>
  <si>
    <t>비데(욕실2)</t>
    <phoneticPr fontId="4" type="noConversion"/>
  </si>
  <si>
    <t>스마트복합환풍기</t>
    <phoneticPr fontId="4" type="noConversion"/>
  </si>
  <si>
    <t>순번</t>
    <phoneticPr fontId="5" type="noConversion"/>
  </si>
  <si>
    <t>■ 청량리역 요진 와이시티 도시형생활주택</t>
  </si>
  <si>
    <t>▶ 마감재 고급화 옵션</t>
    <phoneticPr fontId="4" type="noConversion"/>
  </si>
  <si>
    <t>연번</t>
    <phoneticPr fontId="4" type="noConversion"/>
  </si>
  <si>
    <t>품목</t>
    <phoneticPr fontId="4" type="noConversion"/>
  </si>
  <si>
    <t>내용</t>
    <phoneticPr fontId="4" type="noConversion"/>
  </si>
  <si>
    <t>타입</t>
    <phoneticPr fontId="4" type="noConversion"/>
  </si>
  <si>
    <t>판매가(부가세 포함)</t>
    <phoneticPr fontId="4" type="noConversion"/>
  </si>
  <si>
    <t>공급가</t>
    <phoneticPr fontId="4" type="noConversion"/>
  </si>
  <si>
    <t>부가세</t>
    <phoneticPr fontId="4" type="noConversion"/>
  </si>
  <si>
    <t>비고</t>
    <phoneticPr fontId="4" type="noConversion"/>
  </si>
  <si>
    <t>시트판넬</t>
  </si>
  <si>
    <t>발코니 확장</t>
    <phoneticPr fontId="4" type="noConversion"/>
  </si>
  <si>
    <t>발코니 확장</t>
  </si>
  <si>
    <t>거실아트월 : 600x1200 포세린타일
바닥 (복도,거실,주방) : 600x600 포세린타일
거실천정 : 상간접+하직부등</t>
    <phoneticPr fontId="4" type="noConversion"/>
  </si>
  <si>
    <t>43</t>
    <phoneticPr fontId="4" type="noConversion"/>
  </si>
  <si>
    <t>거실 마감재 특화</t>
  </si>
  <si>
    <t>거실아트월 : 600x1200 포세린타일
바닥 (복도,거실,주방) : 600x600 포세린타일
거실천정 : 상간접+하직부등</t>
  </si>
  <si>
    <t>65A</t>
  </si>
  <si>
    <t>65B</t>
  </si>
  <si>
    <t>600x600 포세린타일</t>
    <phoneticPr fontId="4" type="noConversion"/>
  </si>
  <si>
    <t>욕실 마감재 특화</t>
  </si>
  <si>
    <t>600x600 포세린타일</t>
  </si>
  <si>
    <t>48A</t>
  </si>
  <si>
    <t>48B</t>
  </si>
  <si>
    <t>52B</t>
  </si>
  <si>
    <t>52C</t>
  </si>
  <si>
    <t>55B</t>
  </si>
  <si>
    <t>59B</t>
  </si>
  <si>
    <t>59D</t>
  </si>
  <si>
    <t>59E</t>
  </si>
  <si>
    <t>59F</t>
  </si>
  <si>
    <r>
      <t>주방 벽체/상판 : 엔지니어드스톤
주방가구 특화</t>
    </r>
    <r>
      <rPr>
        <sz val="12"/>
        <rFont val="맑은 고딕"/>
        <family val="3"/>
        <charset val="129"/>
        <scheme val="minor"/>
      </rPr>
      <t xml:space="preserve"> (</t>
    </r>
    <r>
      <rPr>
        <sz val="12"/>
        <color theme="1"/>
        <rFont val="맑은 고딕"/>
        <family val="3"/>
        <charset val="129"/>
        <scheme val="minor"/>
      </rPr>
      <t xml:space="preserve">아일랜드장 및 키높이장(일부 세대))
</t>
    </r>
    <phoneticPr fontId="4" type="noConversion"/>
  </si>
  <si>
    <t>43</t>
  </si>
  <si>
    <t>주방 마감 및 가구 특화</t>
  </si>
  <si>
    <t xml:space="preserve">주방 벽체/상판 : 엔지니어드스톤
주방가구 특화 (아일랜드장 및 키높이장(일부 세대))
</t>
  </si>
  <si>
    <t>아일랜드장 포함</t>
  </si>
  <si>
    <t>아일랜드장 / 키높이장 포함</t>
  </si>
  <si>
    <t>평면변경+가구도어+시스템선반</t>
    <phoneticPr fontId="4" type="noConversion"/>
  </si>
  <si>
    <t>드레스룸 특화</t>
  </si>
  <si>
    <t>가구도어(위치변경)+시스템선반</t>
    <phoneticPr fontId="4" type="noConversion"/>
  </si>
  <si>
    <t>평면변경+가구도어+시스템선반</t>
  </si>
  <si>
    <t>평면변경+가구도어+시스템선반+화장대(은경 및 화장대 상판 포함)+수납장(주방)</t>
    <phoneticPr fontId="4" type="noConversion"/>
  </si>
  <si>
    <t>침실2</t>
  </si>
  <si>
    <t>붙박이장(침실2)</t>
  </si>
  <si>
    <t>침실1</t>
  </si>
  <si>
    <t>침실1 - 화장대(은경 및 화장대 상판 포함) /
 수납장(측면조경 포함) / 드레스룸 도어 / 시스템 선반</t>
  </si>
  <si>
    <t>침실1 - 붙박이장 / 화장대(은경 및 화장대 상판 포함)</t>
  </si>
  <si>
    <t>붙박이장(침실3)</t>
  </si>
  <si>
    <t>침실3</t>
  </si>
  <si>
    <t>붙박이장(침실1)</t>
  </si>
  <si>
    <t>하츠 SSIH-3605TTLB</t>
    <phoneticPr fontId="4" type="noConversion"/>
  </si>
  <si>
    <t>인덕션(3구)</t>
  </si>
  <si>
    <t>하츠 SSIH-3605TTLB</t>
  </si>
  <si>
    <t>삼성 NQ36A6555CK</t>
    <phoneticPr fontId="4" type="noConversion"/>
  </si>
  <si>
    <t>빌트인오븐</t>
  </si>
  <si>
    <t>삼성 NQ36A6555CK</t>
  </si>
  <si>
    <t>삼성 DW80F71Y1SEW</t>
    <phoneticPr fontId="4" type="noConversion"/>
  </si>
  <si>
    <t>식기세척기</t>
  </si>
  <si>
    <t>삼성 DW80F71Y1SEW</t>
  </si>
  <si>
    <t>삼성 RR40C7995AP
삼성 RZ34C7965AP
삼성 RQ34C7945AP</t>
    <phoneticPr fontId="4" type="noConversion"/>
  </si>
  <si>
    <t>냉장고패키지</t>
  </si>
  <si>
    <t>삼성 RR40C7995AP
삼성 RZ34C7965AP
삼성 RQ34C7945AP</t>
  </si>
  <si>
    <t>LG</t>
    <phoneticPr fontId="4" type="noConversion"/>
  </si>
  <si>
    <t>시스템에어컨</t>
  </si>
  <si>
    <t>LG</t>
  </si>
  <si>
    <t>비데일체형 양변기(욕실1)</t>
  </si>
  <si>
    <t>대림바스 DST-690</t>
    <phoneticPr fontId="4" type="noConversion"/>
  </si>
  <si>
    <t>대림바스 DST-690</t>
  </si>
  <si>
    <t>비데(욕실1)</t>
  </si>
  <si>
    <t>대림통상 DB-4210</t>
    <phoneticPr fontId="4" type="noConversion"/>
  </si>
  <si>
    <t>대림통상 DB-4210</t>
  </si>
  <si>
    <t>비데일체형 양변기(욕실2)</t>
  </si>
  <si>
    <t>비데(욕실2)</t>
  </si>
  <si>
    <t>힘펠 FHD3-C150P (욕실 1개)</t>
    <phoneticPr fontId="4" type="noConversion"/>
  </si>
  <si>
    <t>욕실 1개 타입</t>
    <phoneticPr fontId="4" type="noConversion"/>
  </si>
  <si>
    <t>스마트복합환풍기</t>
  </si>
  <si>
    <t>힘펠 FHD3-C150P (욕실 1개)</t>
  </si>
  <si>
    <t>힘펠 FHD3-C150P (욕실 2개)</t>
    <phoneticPr fontId="4" type="noConversion"/>
  </si>
  <si>
    <t>욕실 2개 타입</t>
    <phoneticPr fontId="4" type="noConversion"/>
  </si>
  <si>
    <t>힘펠 FHD3-C150P (욕실 2개)</t>
  </si>
  <si>
    <t>휴대폰 번호 뒷자리</t>
    <phoneticPr fontId="4" type="noConversion"/>
  </si>
  <si>
    <t>황은지</t>
    <phoneticPr fontId="4" type="noConversion"/>
  </si>
  <si>
    <t>신동현</t>
    <phoneticPr fontId="4" type="noConversion"/>
  </si>
  <si>
    <t>이서준</t>
  </si>
  <si>
    <t>안나영</t>
  </si>
  <si>
    <t>송은지</t>
  </si>
  <si>
    <t>장민준</t>
  </si>
  <si>
    <t>한지민</t>
  </si>
  <si>
    <t>한하준</t>
  </si>
  <si>
    <t>오동현</t>
  </si>
  <si>
    <t>권혜진</t>
  </si>
  <si>
    <t>송채원</t>
  </si>
  <si>
    <t>박예준</t>
  </si>
  <si>
    <t>윤하준</t>
  </si>
  <si>
    <t>오서윤</t>
  </si>
  <si>
    <t>장시우</t>
  </si>
  <si>
    <t>윤서윤</t>
  </si>
  <si>
    <t>송하은</t>
  </si>
  <si>
    <t>이성민</t>
  </si>
  <si>
    <t>조지영</t>
  </si>
  <si>
    <t>황정희</t>
  </si>
  <si>
    <t>정하윤</t>
  </si>
  <si>
    <t>신보라</t>
  </si>
  <si>
    <t>정민석</t>
  </si>
  <si>
    <t>이지호</t>
  </si>
  <si>
    <t>신나영</t>
  </si>
  <si>
    <t>홍태호</t>
  </si>
  <si>
    <t>김지호</t>
  </si>
  <si>
    <t>최채원</t>
  </si>
  <si>
    <t>김윤서</t>
  </si>
  <si>
    <t>최영호</t>
  </si>
  <si>
    <t>정수진</t>
  </si>
  <si>
    <t>안민준</t>
  </si>
  <si>
    <t>최수진</t>
  </si>
  <si>
    <t>윤지영</t>
  </si>
  <si>
    <t>황시우</t>
  </si>
  <si>
    <t>황수빈</t>
  </si>
  <si>
    <t>홍현정</t>
  </si>
  <si>
    <t>조영호</t>
  </si>
  <si>
    <t>오유진</t>
  </si>
  <si>
    <t>윤하은</t>
  </si>
  <si>
    <t>류수빈</t>
  </si>
  <si>
    <t>김시우</t>
  </si>
  <si>
    <t>이재현</t>
  </si>
  <si>
    <t>장상현</t>
  </si>
  <si>
    <t>류지영</t>
  </si>
  <si>
    <t>임동우</t>
    <phoneticPr fontId="4" type="noConversion"/>
  </si>
  <si>
    <t>김석현</t>
    <phoneticPr fontId="4" type="noConversion"/>
  </si>
  <si>
    <t>이하준</t>
  </si>
  <si>
    <t>송유진</t>
  </si>
  <si>
    <t>장태호</t>
  </si>
  <si>
    <t>송하준</t>
  </si>
  <si>
    <t>김주원</t>
  </si>
  <si>
    <t>황준혁</t>
  </si>
  <si>
    <t>강미영</t>
  </si>
  <si>
    <t>권채원</t>
  </si>
  <si>
    <t>송상현</t>
  </si>
  <si>
    <t>조도윤</t>
  </si>
  <si>
    <t>이도윤</t>
  </si>
  <si>
    <t>안서윤</t>
  </si>
  <si>
    <t>강시우</t>
  </si>
  <si>
    <t>윤정희</t>
  </si>
  <si>
    <t>류나영</t>
  </si>
  <si>
    <t>조성민</t>
  </si>
  <si>
    <t>정영호</t>
  </si>
  <si>
    <t>박민준</t>
  </si>
  <si>
    <t>최시우</t>
  </si>
  <si>
    <t>정동현</t>
  </si>
  <si>
    <t>임서윤</t>
  </si>
  <si>
    <t>임승우</t>
  </si>
  <si>
    <t>송영호</t>
  </si>
  <si>
    <t>최하준</t>
  </si>
  <si>
    <t>홍민서</t>
  </si>
  <si>
    <t>장민석</t>
  </si>
  <si>
    <t>이주원</t>
  </si>
  <si>
    <t>김재현</t>
  </si>
  <si>
    <t>강유진</t>
  </si>
  <si>
    <t>오보라</t>
  </si>
  <si>
    <t>이영호</t>
  </si>
  <si>
    <t>조하윤</t>
  </si>
  <si>
    <t>강지우</t>
  </si>
  <si>
    <t>한은지</t>
  </si>
  <si>
    <t>최미영</t>
  </si>
  <si>
    <t>조태호</t>
  </si>
  <si>
    <t>서재현</t>
  </si>
  <si>
    <t>장동현</t>
  </si>
  <si>
    <t>송재현</t>
  </si>
  <si>
    <t>강보라</t>
  </si>
  <si>
    <t>한현정</t>
  </si>
  <si>
    <t>류서현</t>
  </si>
  <si>
    <t>신민준</t>
  </si>
  <si>
    <t>조수진</t>
  </si>
  <si>
    <t>한승우</t>
  </si>
  <si>
    <t>신성민</t>
  </si>
  <si>
    <t>송준서</t>
  </si>
  <si>
    <t>서지우</t>
  </si>
  <si>
    <t>김영호</t>
  </si>
  <si>
    <t>권민서</t>
  </si>
  <si>
    <t>강주원</t>
  </si>
  <si>
    <t>홍재현</t>
  </si>
  <si>
    <t>임하은</t>
  </si>
  <si>
    <t>이하윤</t>
  </si>
  <si>
    <t>박태호</t>
  </si>
  <si>
    <t>조미영</t>
  </si>
  <si>
    <t>정민준</t>
  </si>
  <si>
    <t>강진우</t>
  </si>
  <si>
    <t>윤지호</t>
  </si>
  <si>
    <t>권진우</t>
  </si>
  <si>
    <t>안현정</t>
  </si>
  <si>
    <t>황유진</t>
  </si>
  <si>
    <t>장진우</t>
  </si>
  <si>
    <t>장유진</t>
  </si>
  <si>
    <t>윤지민</t>
  </si>
  <si>
    <t>박준서</t>
  </si>
  <si>
    <t>정민서</t>
  </si>
  <si>
    <t>한혜진</t>
  </si>
  <si>
    <t>조은지</t>
  </si>
  <si>
    <t>김지영</t>
  </si>
  <si>
    <t>오영호</t>
  </si>
  <si>
    <t>송나영</t>
  </si>
  <si>
    <t>장현정</t>
  </si>
  <si>
    <t>한정희</t>
  </si>
  <si>
    <t>홍혜진</t>
  </si>
  <si>
    <t>류서준</t>
  </si>
  <si>
    <t>정태호</t>
  </si>
  <si>
    <t>서성민</t>
  </si>
  <si>
    <t>한미영</t>
  </si>
  <si>
    <t>박준혁</t>
  </si>
  <si>
    <t>이동현</t>
  </si>
  <si>
    <t>김승우</t>
  </si>
  <si>
    <t>황지호</t>
  </si>
  <si>
    <t>장수진</t>
  </si>
  <si>
    <t>최서윤</t>
  </si>
  <si>
    <t>조시우</t>
  </si>
  <si>
    <t>임나영</t>
  </si>
  <si>
    <t>박민석</t>
  </si>
  <si>
    <t>신상현</t>
  </si>
  <si>
    <t>권서연</t>
  </si>
  <si>
    <t>안지민</t>
  </si>
  <si>
    <t>류지민</t>
  </si>
  <si>
    <t>박지민</t>
  </si>
  <si>
    <t>권지영</t>
  </si>
  <si>
    <t>황성민</t>
  </si>
  <si>
    <t>오윤서</t>
  </si>
  <si>
    <t>장수빈</t>
  </si>
  <si>
    <t>휴대폰 번호 4자리</t>
    <phoneticPr fontId="4" type="noConversion"/>
  </si>
  <si>
    <t>총액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</si>
</sst>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76" formatCode="_-* #,##0_-;\-* #,##0_-;_-* &quot;-&quot;_-;_-@_-"/>
    <numFmt numFmtId="177" formatCode="0.0%"/>
  </numFmts>
  <fonts count="1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9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9"/>
      <color theme="1"/>
      <name val="맑은 고딕"/>
      <family val="3"/>
      <charset val="129"/>
      <scheme val="minor"/>
    </font>
    <font>
      <sz val="7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theme="1"/>
      <name val="KoPub돋움체 Medium"/>
      <family val="1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4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auto="1"/>
      </left>
      <right style="thin">
        <color auto="1"/>
      </right>
      <top style="double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auto="1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115">
    <xf numFmtId="0" fontId="0" fillId="0" borderId="0" xfId="0">
      <alignment vertical="center"/>
    </xf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9" fillId="3" borderId="1" xfId="0" applyFont="1" applyFill="1" applyBorder="1" applyAlignment="1">
      <alignment horizontal="center" vertical="center"/>
    </xf>
    <xf numFmtId="0" fontId="12" fillId="0" borderId="0" xfId="0" applyFont="1">
      <alignment vertical="center"/>
    </xf>
    <xf numFmtId="0" fontId="0" fillId="0" borderId="0" xfId="0" applyAlignment="1">
      <alignment horizontal="center" vertical="center"/>
    </xf>
    <xf numFmtId="41" fontId="0" fillId="0" borderId="0" xfId="3" applyFont="1">
      <alignment vertical="center"/>
    </xf>
    <xf numFmtId="0" fontId="13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right" vertical="center"/>
    </xf>
    <xf numFmtId="0" fontId="13" fillId="6" borderId="6" xfId="0" applyFont="1" applyFill="1" applyBorder="1" applyAlignment="1">
      <alignment horizontal="center" vertical="center"/>
    </xf>
    <xf numFmtId="0" fontId="13" fillId="6" borderId="7" xfId="0" applyFont="1" applyFill="1" applyBorder="1" applyAlignment="1">
      <alignment horizontal="center" vertical="center"/>
    </xf>
    <xf numFmtId="0" fontId="13" fillId="6" borderId="8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5" fillId="0" borderId="10" xfId="0" applyFont="1" applyBorder="1">
      <alignment vertical="center"/>
    </xf>
    <xf numFmtId="0" fontId="15" fillId="0" borderId="11" xfId="0" applyFont="1" applyBorder="1">
      <alignment vertical="center"/>
    </xf>
    <xf numFmtId="0" fontId="15" fillId="0" borderId="11" xfId="0" applyFont="1" applyBorder="1" applyAlignment="1">
      <alignment vertical="center" wrapText="1" shrinkToFit="1"/>
    </xf>
    <xf numFmtId="41" fontId="15" fillId="0" borderId="5" xfId="3" applyFont="1" applyBorder="1" applyAlignment="1">
      <alignment horizontal="center" vertical="center"/>
    </xf>
    <xf numFmtId="41" fontId="15" fillId="0" borderId="5" xfId="3" applyFont="1" applyFill="1" applyBorder="1" applyAlignment="1">
      <alignment horizontal="center" vertical="center"/>
    </xf>
    <xf numFmtId="41" fontId="15" fillId="0" borderId="12" xfId="3" applyFont="1" applyFill="1" applyBorder="1" applyAlignment="1">
      <alignment horizontal="center" vertical="center"/>
    </xf>
    <xf numFmtId="41" fontId="15" fillId="0" borderId="13" xfId="3" applyFont="1" applyBorder="1" applyAlignment="1">
      <alignment horizontal="center" vertical="center"/>
    </xf>
    <xf numFmtId="0" fontId="15" fillId="0" borderId="14" xfId="0" applyFont="1" applyBorder="1">
      <alignment vertical="center"/>
    </xf>
    <xf numFmtId="0" fontId="15" fillId="0" borderId="4" xfId="0" applyFont="1" applyBorder="1">
      <alignment vertical="center"/>
    </xf>
    <xf numFmtId="0" fontId="15" fillId="0" borderId="4" xfId="0" applyFont="1" applyBorder="1" applyAlignment="1">
      <alignment vertical="center" wrapText="1" shrinkToFit="1"/>
    </xf>
    <xf numFmtId="41" fontId="15" fillId="0" borderId="1" xfId="3" applyFont="1" applyBorder="1" applyAlignment="1">
      <alignment horizontal="center" vertical="center"/>
    </xf>
    <xf numFmtId="41" fontId="15" fillId="0" borderId="1" xfId="3" applyFont="1" applyFill="1" applyBorder="1" applyAlignment="1">
      <alignment horizontal="center" vertical="center"/>
    </xf>
    <xf numFmtId="41" fontId="15" fillId="0" borderId="15" xfId="3" applyFont="1" applyFill="1" applyBorder="1" applyAlignment="1">
      <alignment horizontal="center" vertical="center"/>
    </xf>
    <xf numFmtId="41" fontId="15" fillId="0" borderId="16" xfId="3" applyFont="1" applyBorder="1" applyAlignment="1">
      <alignment horizontal="center" vertical="center"/>
    </xf>
    <xf numFmtId="41" fontId="15" fillId="0" borderId="2" xfId="3" applyFont="1" applyBorder="1" applyAlignment="1">
      <alignment horizontal="center" vertical="center"/>
    </xf>
    <xf numFmtId="41" fontId="15" fillId="0" borderId="2" xfId="3" applyFont="1" applyFill="1" applyBorder="1" applyAlignment="1">
      <alignment horizontal="center" vertical="center"/>
    </xf>
    <xf numFmtId="41" fontId="15" fillId="0" borderId="17" xfId="3" applyFont="1" applyFill="1" applyBorder="1" applyAlignment="1">
      <alignment horizontal="center" vertical="center"/>
    </xf>
    <xf numFmtId="41" fontId="15" fillId="0" borderId="18" xfId="3" applyFont="1" applyBorder="1" applyAlignment="1">
      <alignment horizontal="center" vertical="center"/>
    </xf>
    <xf numFmtId="0" fontId="15" fillId="0" borderId="19" xfId="0" applyFont="1" applyBorder="1">
      <alignment vertical="center"/>
    </xf>
    <xf numFmtId="0" fontId="15" fillId="0" borderId="20" xfId="0" applyFont="1" applyBorder="1">
      <alignment vertical="center"/>
    </xf>
    <xf numFmtId="0" fontId="15" fillId="0" borderId="20" xfId="0" applyFont="1" applyBorder="1" applyAlignment="1">
      <alignment vertical="center" wrapText="1" shrinkToFit="1"/>
    </xf>
    <xf numFmtId="41" fontId="15" fillId="0" borderId="21" xfId="3" applyFont="1" applyBorder="1" applyAlignment="1">
      <alignment horizontal="center" vertical="center"/>
    </xf>
    <xf numFmtId="41" fontId="15" fillId="0" borderId="21" xfId="3" applyFont="1" applyFill="1" applyBorder="1" applyAlignment="1">
      <alignment horizontal="center" vertical="center"/>
    </xf>
    <xf numFmtId="41" fontId="15" fillId="0" borderId="22" xfId="3" applyFont="1" applyFill="1" applyBorder="1" applyAlignment="1">
      <alignment horizontal="center" vertical="center"/>
    </xf>
    <xf numFmtId="41" fontId="15" fillId="0" borderId="23" xfId="3" applyFont="1" applyBorder="1" applyAlignment="1">
      <alignment horizontal="center" vertical="center"/>
    </xf>
    <xf numFmtId="0" fontId="15" fillId="0" borderId="24" xfId="0" applyFont="1" applyBorder="1">
      <alignment vertical="center"/>
    </xf>
    <xf numFmtId="0" fontId="15" fillId="0" borderId="25" xfId="0" applyFont="1" applyBorder="1">
      <alignment vertical="center"/>
    </xf>
    <xf numFmtId="0" fontId="15" fillId="0" borderId="25" xfId="0" applyFont="1" applyBorder="1" applyAlignment="1">
      <alignment vertical="center" wrapText="1" shrinkToFit="1"/>
    </xf>
    <xf numFmtId="41" fontId="15" fillId="0" borderId="26" xfId="3" applyFont="1" applyBorder="1" applyAlignment="1">
      <alignment horizontal="center" vertical="center"/>
    </xf>
    <xf numFmtId="41" fontId="15" fillId="0" borderId="26" xfId="3" applyFont="1" applyFill="1" applyBorder="1" applyAlignment="1">
      <alignment horizontal="center" vertical="center"/>
    </xf>
    <xf numFmtId="41" fontId="15" fillId="0" borderId="27" xfId="3" applyFont="1" applyFill="1" applyBorder="1" applyAlignment="1">
      <alignment horizontal="center" vertical="center"/>
    </xf>
    <xf numFmtId="41" fontId="15" fillId="0" borderId="28" xfId="3" applyFont="1" applyBorder="1" applyAlignment="1">
      <alignment horizontal="center" vertical="center"/>
    </xf>
    <xf numFmtId="41" fontId="15" fillId="0" borderId="21" xfId="3" quotePrefix="1" applyFont="1" applyBorder="1" applyAlignment="1">
      <alignment horizontal="center" vertical="center"/>
    </xf>
    <xf numFmtId="41" fontId="15" fillId="0" borderId="1" xfId="3" quotePrefix="1" applyFont="1" applyBorder="1" applyAlignment="1">
      <alignment horizontal="center" vertical="center"/>
    </xf>
    <xf numFmtId="41" fontId="16" fillId="4" borderId="21" xfId="3" applyFont="1" applyFill="1" applyBorder="1" applyAlignment="1">
      <alignment horizontal="center" vertical="center"/>
    </xf>
    <xf numFmtId="41" fontId="16" fillId="4" borderId="22" xfId="3" applyFont="1" applyFill="1" applyBorder="1" applyAlignment="1">
      <alignment horizontal="center" vertical="center"/>
    </xf>
    <xf numFmtId="177" fontId="0" fillId="0" borderId="0" xfId="2" applyNumberFormat="1" applyFont="1">
      <alignment vertical="center"/>
    </xf>
    <xf numFmtId="41" fontId="16" fillId="4" borderId="1" xfId="3" applyFont="1" applyFill="1" applyBorder="1" applyAlignment="1">
      <alignment horizontal="center" vertical="center"/>
    </xf>
    <xf numFmtId="41" fontId="16" fillId="4" borderId="15" xfId="3" applyFont="1" applyFill="1" applyBorder="1" applyAlignment="1">
      <alignment horizontal="center" vertical="center"/>
    </xf>
    <xf numFmtId="41" fontId="16" fillId="4" borderId="5" xfId="3" applyFont="1" applyFill="1" applyBorder="1" applyAlignment="1">
      <alignment horizontal="center" vertical="center"/>
    </xf>
    <xf numFmtId="41" fontId="16" fillId="4" borderId="12" xfId="3" applyFont="1" applyFill="1" applyBorder="1" applyAlignment="1">
      <alignment horizontal="center" vertical="center"/>
    </xf>
    <xf numFmtId="41" fontId="16" fillId="4" borderId="2" xfId="3" applyFont="1" applyFill="1" applyBorder="1" applyAlignment="1">
      <alignment horizontal="center" vertical="center"/>
    </xf>
    <xf numFmtId="41" fontId="16" fillId="4" borderId="17" xfId="3" applyFont="1" applyFill="1" applyBorder="1" applyAlignment="1">
      <alignment horizontal="center" vertical="center"/>
    </xf>
    <xf numFmtId="41" fontId="16" fillId="4" borderId="29" xfId="3" applyFont="1" applyFill="1" applyBorder="1" applyAlignment="1">
      <alignment horizontal="center" vertical="center"/>
    </xf>
    <xf numFmtId="41" fontId="16" fillId="4" borderId="26" xfId="3" applyFont="1" applyFill="1" applyBorder="1" applyAlignment="1">
      <alignment horizontal="center" vertical="center"/>
    </xf>
    <xf numFmtId="41" fontId="16" fillId="4" borderId="27" xfId="3" applyFont="1" applyFill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41" fontId="2" fillId="0" borderId="0" xfId="3" applyFont="1">
      <alignment vertical="center"/>
    </xf>
    <xf numFmtId="0" fontId="15" fillId="0" borderId="32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5" fillId="0" borderId="33" xfId="0" applyFont="1" applyBorder="1">
      <alignment vertical="center"/>
    </xf>
    <xf numFmtId="0" fontId="15" fillId="0" borderId="34" xfId="0" applyFont="1" applyBorder="1">
      <alignment vertical="center"/>
    </xf>
    <xf numFmtId="0" fontId="15" fillId="0" borderId="29" xfId="0" applyFont="1" applyBorder="1">
      <alignment vertical="center"/>
    </xf>
    <xf numFmtId="0" fontId="15" fillId="0" borderId="3" xfId="0" applyFont="1" applyBorder="1">
      <alignment vertical="center"/>
    </xf>
    <xf numFmtId="41" fontId="15" fillId="0" borderId="16" xfId="3" applyFont="1" applyFill="1" applyBorder="1" applyAlignment="1">
      <alignment horizontal="center" vertical="center"/>
    </xf>
    <xf numFmtId="41" fontId="15" fillId="0" borderId="13" xfId="3" applyFont="1" applyFill="1" applyBorder="1" applyAlignment="1">
      <alignment horizontal="center" vertical="center"/>
    </xf>
    <xf numFmtId="41" fontId="16" fillId="0" borderId="16" xfId="3" applyFont="1" applyFill="1" applyBorder="1" applyAlignment="1">
      <alignment horizontal="center" vertical="center" wrapText="1"/>
    </xf>
    <xf numFmtId="41" fontId="16" fillId="0" borderId="1" xfId="3" applyFont="1" applyFill="1" applyBorder="1" applyAlignment="1">
      <alignment horizontal="center" vertical="center"/>
    </xf>
    <xf numFmtId="41" fontId="16" fillId="0" borderId="16" xfId="3" applyFont="1" applyFill="1" applyBorder="1" applyAlignment="1">
      <alignment horizontal="center" vertical="center"/>
    </xf>
    <xf numFmtId="0" fontId="15" fillId="0" borderId="35" xfId="0" applyFont="1" applyBorder="1">
      <alignment vertical="center"/>
    </xf>
    <xf numFmtId="0" fontId="15" fillId="0" borderId="36" xfId="0" applyFont="1" applyBorder="1">
      <alignment vertical="center"/>
    </xf>
    <xf numFmtId="0" fontId="15" fillId="0" borderId="1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41" fontId="15" fillId="0" borderId="4" xfId="3" applyFont="1" applyBorder="1" applyAlignment="1">
      <alignment horizontal="center" vertical="center"/>
    </xf>
    <xf numFmtId="41" fontId="15" fillId="0" borderId="37" xfId="3" applyFont="1" applyFill="1" applyBorder="1" applyAlignment="1">
      <alignment horizontal="center" vertical="center"/>
    </xf>
    <xf numFmtId="41" fontId="15" fillId="0" borderId="29" xfId="3" applyFont="1" applyFill="1" applyBorder="1" applyAlignment="1">
      <alignment horizontal="center" vertical="center"/>
    </xf>
    <xf numFmtId="41" fontId="15" fillId="0" borderId="38" xfId="3" applyFont="1" applyBorder="1" applyAlignment="1">
      <alignment horizontal="center" vertical="center"/>
    </xf>
    <xf numFmtId="0" fontId="15" fillId="0" borderId="39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9" xfId="0" applyFont="1" applyBorder="1">
      <alignment vertical="center"/>
    </xf>
    <xf numFmtId="0" fontId="15" fillId="0" borderId="2" xfId="0" applyFont="1" applyBorder="1">
      <alignment vertical="center"/>
    </xf>
    <xf numFmtId="41" fontId="15" fillId="0" borderId="40" xfId="3" applyFont="1" applyBorder="1" applyAlignment="1">
      <alignment vertical="center"/>
    </xf>
    <xf numFmtId="41" fontId="15" fillId="0" borderId="38" xfId="3" applyFont="1" applyBorder="1" applyAlignment="1">
      <alignment vertical="center"/>
    </xf>
    <xf numFmtId="0" fontId="15" fillId="0" borderId="30" xfId="0" applyFont="1" applyBorder="1">
      <alignment vertical="center"/>
    </xf>
    <xf numFmtId="0" fontId="15" fillId="0" borderId="5" xfId="0" applyFont="1" applyBorder="1">
      <alignment vertical="center"/>
    </xf>
    <xf numFmtId="41" fontId="15" fillId="0" borderId="13" xfId="3" applyFont="1" applyBorder="1" applyAlignment="1">
      <alignment vertical="center"/>
    </xf>
    <xf numFmtId="41" fontId="15" fillId="0" borderId="4" xfId="3" applyFont="1" applyFill="1" applyBorder="1" applyAlignment="1">
      <alignment horizontal="center" vertical="center"/>
    </xf>
    <xf numFmtId="41" fontId="15" fillId="0" borderId="35" xfId="3" applyFont="1" applyFill="1" applyBorder="1" applyAlignment="1">
      <alignment horizontal="center" vertical="center"/>
    </xf>
    <xf numFmtId="41" fontId="15" fillId="0" borderId="41" xfId="3" applyFont="1" applyBorder="1" applyAlignment="1">
      <alignment horizontal="center" vertical="center"/>
    </xf>
    <xf numFmtId="41" fontId="15" fillId="0" borderId="20" xfId="3" quotePrefix="1" applyFont="1" applyBorder="1" applyAlignment="1">
      <alignment horizontal="center" vertical="center"/>
    </xf>
    <xf numFmtId="41" fontId="15" fillId="0" borderId="33" xfId="3" applyFont="1" applyFill="1" applyBorder="1" applyAlignment="1">
      <alignment horizontal="center" vertical="center"/>
    </xf>
    <xf numFmtId="0" fontId="0" fillId="7" borderId="1" xfId="0" applyFill="1" applyBorder="1">
      <alignment vertical="center"/>
    </xf>
    <xf numFmtId="0" fontId="0" fillId="7" borderId="0" xfId="0" applyFill="1" applyAlignment="1">
      <alignment horizontal="center" vertical="center"/>
    </xf>
    <xf numFmtId="41" fontId="15" fillId="0" borderId="40" xfId="3" applyFont="1" applyBorder="1" applyAlignment="1">
      <alignment horizontal="center" vertical="center"/>
    </xf>
    <xf numFmtId="41" fontId="15" fillId="0" borderId="38" xfId="3" applyFont="1" applyBorder="1" applyAlignment="1">
      <alignment horizontal="center" vertical="center"/>
    </xf>
    <xf numFmtId="41" fontId="15" fillId="0" borderId="41" xfId="3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41" fontId="15" fillId="0" borderId="13" xfId="3" applyFont="1" applyBorder="1" applyAlignment="1">
      <alignment horizontal="center" vertical="center"/>
    </xf>
    <xf numFmtId="176" fontId="17" fillId="5" borderId="1" xfId="1" applyFont="1" applyFill="1" applyBorder="1" applyAlignment="1">
      <alignment horizontal="center" vertical="center" wrapText="1"/>
    </xf>
    <xf numFmtId="176" fontId="18" fillId="5" borderId="1" xfId="1" applyFont="1" applyFill="1" applyBorder="1" applyAlignment="1">
      <alignment horizontal="center" vertical="center" wrapText="1"/>
    </xf>
    <xf numFmtId="176" fontId="18" fillId="5" borderId="4" xfId="1" applyFont="1" applyFill="1" applyBorder="1" applyAlignment="1">
      <alignment horizontal="center" vertical="center" wrapText="1"/>
    </xf>
  </cellXfs>
  <cellStyles count="4">
    <cellStyle name="백분율" xfId="2" builtinId="5"/>
    <cellStyle name="쉼표 [0]" xfId="1" builtinId="6"/>
    <cellStyle name="쉼표 [0] 4" xfId="3" xr:uid="{8B99CDE5-9A9A-4E75-99A4-E5A159F90EBD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4D27-11FA-4EA4-942D-926A1A0F7FCE}">
  <dimension ref="A1:G156"/>
  <sheetViews>
    <sheetView zoomScale="115" zoomScaleNormal="115" workbookViewId="0">
      <selection activeCell="K4" sqref="K4"/>
    </sheetView>
  </sheetViews>
  <sheetFormatPr baseColWidth="10" defaultColWidth="8.83203125" defaultRowHeight="17"/>
  <cols>
    <col min="1" max="1" width="6.83203125" bestFit="1" customWidth="1"/>
    <col min="2" max="2" width="9.6640625" bestFit="1" customWidth="1"/>
    <col min="3" max="3" width="4.1640625" bestFit="1" customWidth="1"/>
    <col min="4" max="4" width="3.6640625" bestFit="1" customWidth="1"/>
    <col min="5" max="5" width="4.33203125" bestFit="1" customWidth="1"/>
    <col min="7" max="7" width="15.33203125" bestFit="1" customWidth="1"/>
  </cols>
  <sheetData>
    <row r="1" spans="1: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26</v>
      </c>
      <c r="G1" s="4" t="s">
        <v>126</v>
      </c>
    </row>
    <row r="2" spans="1:7">
      <c r="A2" s="2" t="str">
        <f>CONCATENATE(D2,E2)</f>
        <v>1011101</v>
      </c>
      <c r="B2" s="3" t="s">
        <v>5</v>
      </c>
      <c r="C2" s="1" t="s">
        <v>6</v>
      </c>
      <c r="D2" s="2">
        <v>101</v>
      </c>
      <c r="E2" s="2">
        <v>1101</v>
      </c>
      <c r="F2" s="5" t="s">
        <v>127</v>
      </c>
      <c r="G2" s="8">
        <v>3115</v>
      </c>
    </row>
    <row r="3" spans="1:7">
      <c r="A3" s="2" t="str">
        <f t="shared" ref="A3:A66" si="0">CONCATENATE(D3,E3)</f>
        <v>1011001</v>
      </c>
      <c r="B3" s="3" t="s">
        <v>5</v>
      </c>
      <c r="C3" s="1" t="s">
        <v>6</v>
      </c>
      <c r="D3" s="2">
        <v>101</v>
      </c>
      <c r="E3" s="2">
        <v>1001</v>
      </c>
      <c r="F3" s="5" t="s">
        <v>128</v>
      </c>
      <c r="G3" s="8">
        <v>4536</v>
      </c>
    </row>
    <row r="4" spans="1:7">
      <c r="A4" s="2" t="str">
        <f t="shared" si="0"/>
        <v>101901</v>
      </c>
      <c r="B4" s="3" t="s">
        <v>5</v>
      </c>
      <c r="C4" s="1" t="s">
        <v>6</v>
      </c>
      <c r="D4" s="2">
        <v>101</v>
      </c>
      <c r="E4" s="2">
        <v>901</v>
      </c>
      <c r="F4" s="5" t="s">
        <v>129</v>
      </c>
      <c r="G4" s="8">
        <v>7238</v>
      </c>
    </row>
    <row r="5" spans="1:7">
      <c r="A5" s="2" t="str">
        <f t="shared" si="0"/>
        <v>101801</v>
      </c>
      <c r="B5" s="3" t="s">
        <v>5</v>
      </c>
      <c r="C5" s="1" t="s">
        <v>6</v>
      </c>
      <c r="D5" s="2">
        <v>101</v>
      </c>
      <c r="E5" s="2">
        <v>801</v>
      </c>
      <c r="F5" s="5" t="s">
        <v>130</v>
      </c>
      <c r="G5" s="8">
        <v>4278</v>
      </c>
    </row>
    <row r="6" spans="1:7">
      <c r="A6" s="2" t="str">
        <f t="shared" si="0"/>
        <v>101701</v>
      </c>
      <c r="B6" s="3" t="s">
        <v>5</v>
      </c>
      <c r="C6" s="1" t="s">
        <v>6</v>
      </c>
      <c r="D6" s="2">
        <v>101</v>
      </c>
      <c r="E6" s="2">
        <v>701</v>
      </c>
      <c r="F6" s="5" t="s">
        <v>131</v>
      </c>
      <c r="G6" s="8">
        <v>3929</v>
      </c>
    </row>
    <row r="7" spans="1:7">
      <c r="A7" s="2" t="str">
        <f t="shared" si="0"/>
        <v>101601</v>
      </c>
      <c r="B7" s="3" t="s">
        <v>5</v>
      </c>
      <c r="C7" s="1" t="s">
        <v>6</v>
      </c>
      <c r="D7" s="2">
        <v>101</v>
      </c>
      <c r="E7" s="2">
        <v>601</v>
      </c>
      <c r="F7" s="5" t="s">
        <v>132</v>
      </c>
      <c r="G7" s="8">
        <v>4772</v>
      </c>
    </row>
    <row r="8" spans="1:7">
      <c r="A8" s="2" t="str">
        <f t="shared" si="0"/>
        <v>101501</v>
      </c>
      <c r="B8" s="3" t="s">
        <v>5</v>
      </c>
      <c r="C8" s="1" t="s">
        <v>6</v>
      </c>
      <c r="D8" s="2">
        <v>101</v>
      </c>
      <c r="E8" s="2">
        <v>501</v>
      </c>
      <c r="F8" s="5" t="s">
        <v>133</v>
      </c>
      <c r="G8" s="8">
        <v>5070</v>
      </c>
    </row>
    <row r="9" spans="1:7">
      <c r="A9" s="2" t="str">
        <f t="shared" si="0"/>
        <v>101401</v>
      </c>
      <c r="B9" s="3" t="s">
        <v>5</v>
      </c>
      <c r="C9" s="1" t="s">
        <v>6</v>
      </c>
      <c r="D9" s="2">
        <v>101</v>
      </c>
      <c r="E9" s="2">
        <v>401</v>
      </c>
      <c r="F9" s="5" t="s">
        <v>134</v>
      </c>
      <c r="G9" s="8">
        <v>3183</v>
      </c>
    </row>
    <row r="10" spans="1:7">
      <c r="A10" s="2" t="str">
        <f t="shared" si="0"/>
        <v>101301</v>
      </c>
      <c r="B10" s="3" t="s">
        <v>5</v>
      </c>
      <c r="C10" s="1" t="s">
        <v>6</v>
      </c>
      <c r="D10" s="2">
        <v>101</v>
      </c>
      <c r="E10" s="2">
        <v>301</v>
      </c>
      <c r="F10" s="5" t="s">
        <v>135</v>
      </c>
      <c r="G10" s="8">
        <v>2418</v>
      </c>
    </row>
    <row r="11" spans="1:7">
      <c r="A11" s="2" t="str">
        <f t="shared" si="0"/>
        <v>101201</v>
      </c>
      <c r="B11" s="3" t="s">
        <v>5</v>
      </c>
      <c r="C11" s="1" t="s">
        <v>7</v>
      </c>
      <c r="D11" s="2">
        <v>101</v>
      </c>
      <c r="E11" s="2">
        <v>201</v>
      </c>
      <c r="F11" s="5" t="s">
        <v>136</v>
      </c>
      <c r="G11" s="8">
        <v>5114</v>
      </c>
    </row>
    <row r="12" spans="1:7">
      <c r="A12" s="2" t="str">
        <f t="shared" si="0"/>
        <v>1011601</v>
      </c>
      <c r="B12" s="3" t="s">
        <v>5</v>
      </c>
      <c r="C12" s="1" t="s">
        <v>8</v>
      </c>
      <c r="D12" s="2">
        <v>101</v>
      </c>
      <c r="E12" s="2">
        <v>1601</v>
      </c>
      <c r="F12" s="5" t="s">
        <v>137</v>
      </c>
      <c r="G12" s="8">
        <v>7276</v>
      </c>
    </row>
    <row r="13" spans="1:7">
      <c r="A13" s="2" t="str">
        <f t="shared" si="0"/>
        <v>1011501</v>
      </c>
      <c r="B13" s="3" t="s">
        <v>5</v>
      </c>
      <c r="C13" s="1" t="s">
        <v>9</v>
      </c>
      <c r="D13" s="2">
        <v>101</v>
      </c>
      <c r="E13" s="2">
        <v>1501</v>
      </c>
      <c r="F13" s="5" t="s">
        <v>138</v>
      </c>
      <c r="G13" s="8">
        <v>9696</v>
      </c>
    </row>
    <row r="14" spans="1:7">
      <c r="A14" s="2" t="str">
        <f t="shared" si="0"/>
        <v>1011401</v>
      </c>
      <c r="B14" s="3" t="s">
        <v>5</v>
      </c>
      <c r="C14" s="1" t="s">
        <v>9</v>
      </c>
      <c r="D14" s="2">
        <v>101</v>
      </c>
      <c r="E14" s="2">
        <v>1401</v>
      </c>
      <c r="F14" s="5" t="s">
        <v>139</v>
      </c>
      <c r="G14" s="8">
        <v>9824</v>
      </c>
    </row>
    <row r="15" spans="1:7">
      <c r="A15" s="2" t="str">
        <f t="shared" si="0"/>
        <v>1011301</v>
      </c>
      <c r="B15" s="3" t="s">
        <v>5</v>
      </c>
      <c r="C15" s="1" t="s">
        <v>9</v>
      </c>
      <c r="D15" s="2">
        <v>101</v>
      </c>
      <c r="E15" s="2">
        <v>1301</v>
      </c>
      <c r="F15" s="5" t="s">
        <v>140</v>
      </c>
      <c r="G15" s="8">
        <v>2471</v>
      </c>
    </row>
    <row r="16" spans="1:7">
      <c r="A16" s="2" t="str">
        <f t="shared" si="0"/>
        <v>1011201</v>
      </c>
      <c r="B16" s="3" t="s">
        <v>5</v>
      </c>
      <c r="C16" s="1" t="s">
        <v>9</v>
      </c>
      <c r="D16" s="2">
        <v>101</v>
      </c>
      <c r="E16" s="2">
        <v>1201</v>
      </c>
      <c r="F16" s="5" t="s">
        <v>141</v>
      </c>
      <c r="G16" s="8">
        <v>9016</v>
      </c>
    </row>
    <row r="17" spans="1:7">
      <c r="A17" s="2" t="str">
        <f t="shared" si="0"/>
        <v>1011502</v>
      </c>
      <c r="B17" s="3" t="s">
        <v>5</v>
      </c>
      <c r="C17" s="1">
        <v>43</v>
      </c>
      <c r="D17" s="2">
        <v>101</v>
      </c>
      <c r="E17" s="2">
        <v>1502</v>
      </c>
      <c r="F17" s="5" t="s">
        <v>142</v>
      </c>
      <c r="G17" s="8">
        <v>4268</v>
      </c>
    </row>
    <row r="18" spans="1:7">
      <c r="A18" s="2" t="str">
        <f t="shared" si="0"/>
        <v>1011402</v>
      </c>
      <c r="B18" s="3" t="s">
        <v>5</v>
      </c>
      <c r="C18" s="1" t="s">
        <v>10</v>
      </c>
      <c r="D18" s="2">
        <v>101</v>
      </c>
      <c r="E18" s="2">
        <v>1402</v>
      </c>
      <c r="F18" s="5" t="s">
        <v>143</v>
      </c>
      <c r="G18" s="8">
        <v>7908</v>
      </c>
    </row>
    <row r="19" spans="1:7">
      <c r="A19" s="2" t="str">
        <f t="shared" si="0"/>
        <v>1011302</v>
      </c>
      <c r="B19" s="3" t="s">
        <v>5</v>
      </c>
      <c r="C19" s="1" t="s">
        <v>10</v>
      </c>
      <c r="D19" s="2">
        <v>101</v>
      </c>
      <c r="E19" s="2">
        <v>1302</v>
      </c>
      <c r="F19" s="5" t="s">
        <v>144</v>
      </c>
      <c r="G19" s="8">
        <v>4550</v>
      </c>
    </row>
    <row r="20" spans="1:7">
      <c r="A20" s="2" t="str">
        <f t="shared" si="0"/>
        <v>1011202</v>
      </c>
      <c r="B20" s="3" t="s">
        <v>5</v>
      </c>
      <c r="C20" s="1" t="s">
        <v>10</v>
      </c>
      <c r="D20" s="2">
        <v>101</v>
      </c>
      <c r="E20" s="2">
        <v>1202</v>
      </c>
      <c r="F20" s="5" t="s">
        <v>145</v>
      </c>
      <c r="G20" s="8">
        <v>7127</v>
      </c>
    </row>
    <row r="21" spans="1:7">
      <c r="A21" s="2" t="str">
        <f t="shared" si="0"/>
        <v>1011102</v>
      </c>
      <c r="B21" s="3" t="s">
        <v>5</v>
      </c>
      <c r="C21" s="1" t="s">
        <v>11</v>
      </c>
      <c r="D21" s="2">
        <v>101</v>
      </c>
      <c r="E21" s="2">
        <v>1102</v>
      </c>
      <c r="F21" s="5" t="s">
        <v>146</v>
      </c>
      <c r="G21" s="8">
        <v>7358</v>
      </c>
    </row>
    <row r="22" spans="1:7">
      <c r="A22" s="2" t="str">
        <f t="shared" si="0"/>
        <v>1011002</v>
      </c>
      <c r="B22" s="3" t="s">
        <v>5</v>
      </c>
      <c r="C22" s="1" t="s">
        <v>11</v>
      </c>
      <c r="D22" s="2">
        <v>101</v>
      </c>
      <c r="E22" s="2">
        <v>1002</v>
      </c>
      <c r="F22" s="5" t="s">
        <v>147</v>
      </c>
      <c r="G22" s="8">
        <v>4483</v>
      </c>
    </row>
    <row r="23" spans="1:7">
      <c r="A23" s="2" t="str">
        <f t="shared" si="0"/>
        <v>101902</v>
      </c>
      <c r="B23" s="3" t="s">
        <v>5</v>
      </c>
      <c r="C23" s="1" t="s">
        <v>11</v>
      </c>
      <c r="D23" s="2">
        <v>101</v>
      </c>
      <c r="E23" s="2">
        <v>902</v>
      </c>
      <c r="F23" s="5" t="s">
        <v>148</v>
      </c>
      <c r="G23" s="8">
        <v>3494</v>
      </c>
    </row>
    <row r="24" spans="1:7">
      <c r="A24" s="2" t="str">
        <f t="shared" si="0"/>
        <v>101802</v>
      </c>
      <c r="B24" s="3" t="s">
        <v>5</v>
      </c>
      <c r="C24" s="1" t="s">
        <v>11</v>
      </c>
      <c r="D24" s="2">
        <v>101</v>
      </c>
      <c r="E24" s="2">
        <v>802</v>
      </c>
      <c r="F24" s="5" t="s">
        <v>149</v>
      </c>
      <c r="G24" s="8">
        <v>8560</v>
      </c>
    </row>
    <row r="25" spans="1:7">
      <c r="A25" s="2" t="str">
        <f t="shared" si="0"/>
        <v>101702</v>
      </c>
      <c r="B25" s="3" t="s">
        <v>5</v>
      </c>
      <c r="C25" s="1" t="s">
        <v>11</v>
      </c>
      <c r="D25" s="2">
        <v>101</v>
      </c>
      <c r="E25" s="2">
        <v>702</v>
      </c>
      <c r="F25" s="5" t="s">
        <v>150</v>
      </c>
      <c r="G25" s="8">
        <v>3932</v>
      </c>
    </row>
    <row r="26" spans="1:7">
      <c r="A26" s="2" t="str">
        <f t="shared" si="0"/>
        <v>101602</v>
      </c>
      <c r="B26" s="3" t="s">
        <v>5</v>
      </c>
      <c r="C26" s="1" t="s">
        <v>11</v>
      </c>
      <c r="D26" s="2">
        <v>101</v>
      </c>
      <c r="E26" s="2">
        <v>602</v>
      </c>
      <c r="F26" s="5" t="s">
        <v>151</v>
      </c>
      <c r="G26" s="8">
        <v>6551</v>
      </c>
    </row>
    <row r="27" spans="1:7">
      <c r="A27" s="2" t="str">
        <f t="shared" si="0"/>
        <v>101502</v>
      </c>
      <c r="B27" s="3" t="s">
        <v>5</v>
      </c>
      <c r="C27" s="1" t="s">
        <v>11</v>
      </c>
      <c r="D27" s="2">
        <v>101</v>
      </c>
      <c r="E27" s="2">
        <v>502</v>
      </c>
      <c r="F27" s="5" t="s">
        <v>152</v>
      </c>
      <c r="G27" s="8">
        <v>2359</v>
      </c>
    </row>
    <row r="28" spans="1:7">
      <c r="A28" s="2" t="str">
        <f t="shared" si="0"/>
        <v>101402</v>
      </c>
      <c r="B28" s="3" t="s">
        <v>5</v>
      </c>
      <c r="C28" s="1" t="s">
        <v>11</v>
      </c>
      <c r="D28" s="2">
        <v>101</v>
      </c>
      <c r="E28" s="2">
        <v>402</v>
      </c>
      <c r="F28" s="5" t="s">
        <v>153</v>
      </c>
      <c r="G28" s="8">
        <v>9662</v>
      </c>
    </row>
    <row r="29" spans="1:7">
      <c r="A29" s="2" t="str">
        <f t="shared" si="0"/>
        <v>101302</v>
      </c>
      <c r="B29" s="3" t="s">
        <v>5</v>
      </c>
      <c r="C29" s="1" t="s">
        <v>11</v>
      </c>
      <c r="D29" s="2">
        <v>101</v>
      </c>
      <c r="E29" s="2">
        <v>302</v>
      </c>
      <c r="F29" s="5" t="s">
        <v>154</v>
      </c>
      <c r="G29" s="8">
        <v>2438</v>
      </c>
    </row>
    <row r="30" spans="1:7">
      <c r="A30" s="2" t="str">
        <f t="shared" si="0"/>
        <v>101202</v>
      </c>
      <c r="B30" s="3" t="s">
        <v>5</v>
      </c>
      <c r="C30" s="1" t="s">
        <v>10</v>
      </c>
      <c r="D30" s="2">
        <v>101</v>
      </c>
      <c r="E30" s="2">
        <v>202</v>
      </c>
      <c r="F30" s="5" t="s">
        <v>155</v>
      </c>
      <c r="G30" s="8">
        <v>8684</v>
      </c>
    </row>
    <row r="31" spans="1:7">
      <c r="A31" s="2" t="str">
        <f t="shared" si="0"/>
        <v>1011603</v>
      </c>
      <c r="B31" s="3" t="s">
        <v>5</v>
      </c>
      <c r="C31" s="1" t="s">
        <v>12</v>
      </c>
      <c r="D31" s="2">
        <v>101</v>
      </c>
      <c r="E31" s="2">
        <v>1603</v>
      </c>
      <c r="F31" s="5" t="s">
        <v>156</v>
      </c>
      <c r="G31" s="8">
        <v>6183</v>
      </c>
    </row>
    <row r="32" spans="1:7">
      <c r="A32" s="2" t="str">
        <f t="shared" si="0"/>
        <v>1011503</v>
      </c>
      <c r="B32" s="3" t="s">
        <v>5</v>
      </c>
      <c r="C32" s="1" t="s">
        <v>13</v>
      </c>
      <c r="D32" s="2">
        <v>101</v>
      </c>
      <c r="E32" s="2">
        <v>1503</v>
      </c>
      <c r="F32" s="5" t="s">
        <v>157</v>
      </c>
      <c r="G32" s="8">
        <v>7596</v>
      </c>
    </row>
    <row r="33" spans="1:7">
      <c r="A33" s="2" t="str">
        <f t="shared" si="0"/>
        <v>1011403</v>
      </c>
      <c r="B33" s="3" t="s">
        <v>5</v>
      </c>
      <c r="C33" s="1" t="s">
        <v>13</v>
      </c>
      <c r="D33" s="2">
        <v>101</v>
      </c>
      <c r="E33" s="2">
        <v>1403</v>
      </c>
      <c r="F33" s="5" t="s">
        <v>158</v>
      </c>
      <c r="G33" s="8">
        <v>1698</v>
      </c>
    </row>
    <row r="34" spans="1:7">
      <c r="A34" s="2" t="str">
        <f t="shared" si="0"/>
        <v>1011303</v>
      </c>
      <c r="B34" s="3" t="s">
        <v>5</v>
      </c>
      <c r="C34" s="1" t="s">
        <v>13</v>
      </c>
      <c r="D34" s="2">
        <v>101</v>
      </c>
      <c r="E34" s="2">
        <v>1303</v>
      </c>
      <c r="F34" s="5" t="s">
        <v>159</v>
      </c>
      <c r="G34" s="8">
        <v>5413</v>
      </c>
    </row>
    <row r="35" spans="1:7">
      <c r="A35" s="2" t="str">
        <f t="shared" si="0"/>
        <v>1011203</v>
      </c>
      <c r="B35" s="3" t="s">
        <v>5</v>
      </c>
      <c r="C35" s="1" t="s">
        <v>13</v>
      </c>
      <c r="D35" s="2">
        <v>101</v>
      </c>
      <c r="E35" s="2">
        <v>1203</v>
      </c>
      <c r="F35" s="5" t="s">
        <v>160</v>
      </c>
      <c r="G35" s="8">
        <v>1124</v>
      </c>
    </row>
    <row r="36" spans="1:7">
      <c r="A36" s="2" t="str">
        <f t="shared" si="0"/>
        <v>1011103</v>
      </c>
      <c r="B36" s="3" t="s">
        <v>5</v>
      </c>
      <c r="C36" s="1" t="s">
        <v>14</v>
      </c>
      <c r="D36" s="2">
        <v>101</v>
      </c>
      <c r="E36" s="2">
        <v>1103</v>
      </c>
      <c r="F36" s="5" t="s">
        <v>161</v>
      </c>
      <c r="G36" s="8">
        <v>7966</v>
      </c>
    </row>
    <row r="37" spans="1:7">
      <c r="A37" s="2" t="str">
        <f t="shared" si="0"/>
        <v>1011003</v>
      </c>
      <c r="B37" s="3" t="s">
        <v>5</v>
      </c>
      <c r="C37" s="1" t="s">
        <v>14</v>
      </c>
      <c r="D37" s="2">
        <v>101</v>
      </c>
      <c r="E37" s="2">
        <v>1003</v>
      </c>
      <c r="F37" s="5" t="s">
        <v>162</v>
      </c>
      <c r="G37" s="8">
        <v>4338</v>
      </c>
    </row>
    <row r="38" spans="1:7">
      <c r="A38" s="2" t="str">
        <f t="shared" si="0"/>
        <v>101903</v>
      </c>
      <c r="B38" s="3" t="s">
        <v>5</v>
      </c>
      <c r="C38" s="1" t="s">
        <v>14</v>
      </c>
      <c r="D38" s="2">
        <v>101</v>
      </c>
      <c r="E38" s="2">
        <v>903</v>
      </c>
      <c r="F38" s="5" t="s">
        <v>163</v>
      </c>
      <c r="G38" s="8">
        <v>6939</v>
      </c>
    </row>
    <row r="39" spans="1:7">
      <c r="A39" s="2" t="str">
        <f t="shared" si="0"/>
        <v>101803</v>
      </c>
      <c r="B39" s="3" t="s">
        <v>5</v>
      </c>
      <c r="C39" s="1" t="s">
        <v>14</v>
      </c>
      <c r="D39" s="2">
        <v>101</v>
      </c>
      <c r="E39" s="2">
        <v>803</v>
      </c>
      <c r="F39" s="5" t="s">
        <v>164</v>
      </c>
      <c r="G39" s="8">
        <v>9754</v>
      </c>
    </row>
    <row r="40" spans="1:7">
      <c r="A40" s="2" t="str">
        <f t="shared" si="0"/>
        <v>101703</v>
      </c>
      <c r="B40" s="3" t="s">
        <v>5</v>
      </c>
      <c r="C40" s="1" t="s">
        <v>14</v>
      </c>
      <c r="D40" s="2">
        <v>101</v>
      </c>
      <c r="E40" s="2">
        <v>703</v>
      </c>
      <c r="F40" s="5" t="s">
        <v>165</v>
      </c>
      <c r="G40" s="8">
        <v>2324</v>
      </c>
    </row>
    <row r="41" spans="1:7">
      <c r="A41" s="2" t="str">
        <f t="shared" si="0"/>
        <v>101603</v>
      </c>
      <c r="B41" s="3" t="s">
        <v>5</v>
      </c>
      <c r="C41" s="1" t="s">
        <v>14</v>
      </c>
      <c r="D41" s="2">
        <v>101</v>
      </c>
      <c r="E41" s="2">
        <v>603</v>
      </c>
      <c r="F41" s="5" t="s">
        <v>166</v>
      </c>
      <c r="G41" s="8">
        <v>8570</v>
      </c>
    </row>
    <row r="42" spans="1:7">
      <c r="A42" s="2" t="str">
        <f t="shared" si="0"/>
        <v>101503</v>
      </c>
      <c r="B42" s="3" t="s">
        <v>5</v>
      </c>
      <c r="C42" s="1" t="s">
        <v>14</v>
      </c>
      <c r="D42" s="2">
        <v>101</v>
      </c>
      <c r="E42" s="2">
        <v>503</v>
      </c>
      <c r="F42" s="5" t="s">
        <v>167</v>
      </c>
      <c r="G42" s="8">
        <v>9497</v>
      </c>
    </row>
    <row r="43" spans="1:7">
      <c r="A43" s="2" t="str">
        <f t="shared" si="0"/>
        <v>101403</v>
      </c>
      <c r="B43" s="3" t="s">
        <v>5</v>
      </c>
      <c r="C43" s="1" t="s">
        <v>14</v>
      </c>
      <c r="D43" s="2">
        <v>101</v>
      </c>
      <c r="E43" s="2">
        <v>403</v>
      </c>
      <c r="F43" s="5" t="s">
        <v>168</v>
      </c>
      <c r="G43" s="8">
        <v>4245</v>
      </c>
    </row>
    <row r="44" spans="1:7">
      <c r="A44" s="2" t="str">
        <f t="shared" si="0"/>
        <v>101303</v>
      </c>
      <c r="B44" s="3" t="s">
        <v>5</v>
      </c>
      <c r="C44" s="1" t="s">
        <v>14</v>
      </c>
      <c r="D44" s="2">
        <v>101</v>
      </c>
      <c r="E44" s="2">
        <v>303</v>
      </c>
      <c r="F44" s="5" t="s">
        <v>169</v>
      </c>
      <c r="G44" s="8">
        <v>8580</v>
      </c>
    </row>
    <row r="45" spans="1:7">
      <c r="A45" s="2" t="str">
        <f t="shared" si="0"/>
        <v>101203</v>
      </c>
      <c r="B45" s="3" t="s">
        <v>5</v>
      </c>
      <c r="C45" s="1" t="s">
        <v>13</v>
      </c>
      <c r="D45" s="2">
        <v>101</v>
      </c>
      <c r="E45" s="2">
        <v>203</v>
      </c>
      <c r="F45" s="5" t="s">
        <v>170</v>
      </c>
      <c r="G45" s="8">
        <v>1840</v>
      </c>
    </row>
    <row r="46" spans="1:7">
      <c r="A46" s="2" t="str">
        <f t="shared" si="0"/>
        <v>1011604</v>
      </c>
      <c r="B46" s="3" t="s">
        <v>5</v>
      </c>
      <c r="C46" s="1" t="s">
        <v>15</v>
      </c>
      <c r="D46" s="2">
        <v>101</v>
      </c>
      <c r="E46" s="2">
        <v>1604</v>
      </c>
      <c r="F46" s="5" t="s">
        <v>171</v>
      </c>
      <c r="G46" s="8">
        <v>6857</v>
      </c>
    </row>
    <row r="47" spans="1:7">
      <c r="A47" s="2" t="str">
        <f t="shared" si="0"/>
        <v>1011504</v>
      </c>
      <c r="B47" s="3" t="s">
        <v>5</v>
      </c>
      <c r="C47" s="1" t="s">
        <v>15</v>
      </c>
      <c r="D47" s="2">
        <v>101</v>
      </c>
      <c r="E47" s="2">
        <v>1504</v>
      </c>
      <c r="F47" s="103" t="s">
        <v>172</v>
      </c>
      <c r="G47" s="104">
        <v>5604</v>
      </c>
    </row>
    <row r="48" spans="1:7">
      <c r="A48" s="2" t="str">
        <f t="shared" si="0"/>
        <v>1011404</v>
      </c>
      <c r="B48" s="3" t="s">
        <v>5</v>
      </c>
      <c r="C48" s="1" t="s">
        <v>15</v>
      </c>
      <c r="D48" s="2">
        <v>101</v>
      </c>
      <c r="E48" s="2">
        <v>1404</v>
      </c>
      <c r="F48" s="103" t="s">
        <v>173</v>
      </c>
      <c r="G48" s="104">
        <v>5833</v>
      </c>
    </row>
    <row r="49" spans="1:7">
      <c r="A49" s="2" t="str">
        <f t="shared" si="0"/>
        <v>1011304</v>
      </c>
      <c r="B49" s="3" t="s">
        <v>5</v>
      </c>
      <c r="C49" s="1" t="s">
        <v>15</v>
      </c>
      <c r="D49" s="2">
        <v>101</v>
      </c>
      <c r="E49" s="2">
        <v>1304</v>
      </c>
      <c r="F49" s="5" t="s">
        <v>174</v>
      </c>
      <c r="G49" s="8">
        <v>3634</v>
      </c>
    </row>
    <row r="50" spans="1:7">
      <c r="A50" s="2" t="str">
        <f t="shared" si="0"/>
        <v>1011204</v>
      </c>
      <c r="B50" s="3" t="s">
        <v>5</v>
      </c>
      <c r="C50" s="1" t="s">
        <v>15</v>
      </c>
      <c r="D50" s="2">
        <v>101</v>
      </c>
      <c r="E50" s="2">
        <v>1204</v>
      </c>
      <c r="F50" s="5" t="s">
        <v>134</v>
      </c>
      <c r="G50" s="8">
        <v>8237</v>
      </c>
    </row>
    <row r="51" spans="1:7">
      <c r="A51" s="2" t="str">
        <f t="shared" si="0"/>
        <v>1011104</v>
      </c>
      <c r="B51" s="3" t="s">
        <v>5</v>
      </c>
      <c r="C51" s="1" t="s">
        <v>16</v>
      </c>
      <c r="D51" s="2">
        <v>101</v>
      </c>
      <c r="E51" s="2">
        <v>1104</v>
      </c>
      <c r="F51" s="5" t="s">
        <v>175</v>
      </c>
      <c r="G51" s="8">
        <v>3910</v>
      </c>
    </row>
    <row r="52" spans="1:7">
      <c r="A52" s="2" t="str">
        <f t="shared" si="0"/>
        <v>1011004</v>
      </c>
      <c r="B52" s="3" t="s">
        <v>5</v>
      </c>
      <c r="C52" s="1" t="s">
        <v>16</v>
      </c>
      <c r="D52" s="2">
        <v>101</v>
      </c>
      <c r="E52" s="2">
        <v>1004</v>
      </c>
      <c r="F52" s="5" t="s">
        <v>176</v>
      </c>
      <c r="G52" s="8">
        <v>9244</v>
      </c>
    </row>
    <row r="53" spans="1:7">
      <c r="A53" s="2" t="str">
        <f t="shared" si="0"/>
        <v>101904</v>
      </c>
      <c r="B53" s="3" t="s">
        <v>5</v>
      </c>
      <c r="C53" s="1" t="s">
        <v>16</v>
      </c>
      <c r="D53" s="2">
        <v>101</v>
      </c>
      <c r="E53" s="2">
        <v>904</v>
      </c>
      <c r="F53" s="5" t="s">
        <v>177</v>
      </c>
      <c r="G53" s="8">
        <v>3883</v>
      </c>
    </row>
    <row r="54" spans="1:7">
      <c r="A54" s="2" t="str">
        <f t="shared" si="0"/>
        <v>101804</v>
      </c>
      <c r="B54" s="3" t="s">
        <v>5</v>
      </c>
      <c r="C54" s="1" t="s">
        <v>16</v>
      </c>
      <c r="D54" s="2">
        <v>101</v>
      </c>
      <c r="E54" s="2">
        <v>804</v>
      </c>
      <c r="F54" s="5" t="s">
        <v>178</v>
      </c>
      <c r="G54" s="8">
        <v>1607</v>
      </c>
    </row>
    <row r="55" spans="1:7">
      <c r="A55" s="2" t="str">
        <f t="shared" si="0"/>
        <v>101704</v>
      </c>
      <c r="B55" s="3" t="s">
        <v>5</v>
      </c>
      <c r="C55" s="1" t="s">
        <v>16</v>
      </c>
      <c r="D55" s="2">
        <v>101</v>
      </c>
      <c r="E55" s="2">
        <v>704</v>
      </c>
      <c r="F55" s="5" t="s">
        <v>179</v>
      </c>
      <c r="G55" s="8">
        <v>2798</v>
      </c>
    </row>
    <row r="56" spans="1:7">
      <c r="A56" s="2" t="str">
        <f t="shared" si="0"/>
        <v>101604</v>
      </c>
      <c r="B56" s="3" t="s">
        <v>5</v>
      </c>
      <c r="C56" s="1" t="s">
        <v>16</v>
      </c>
      <c r="D56" s="2">
        <v>101</v>
      </c>
      <c r="E56" s="2">
        <v>604</v>
      </c>
      <c r="F56" s="5" t="s">
        <v>180</v>
      </c>
      <c r="G56" s="8">
        <v>1381</v>
      </c>
    </row>
    <row r="57" spans="1:7">
      <c r="A57" s="2" t="str">
        <f t="shared" si="0"/>
        <v>101504</v>
      </c>
      <c r="B57" s="3" t="s">
        <v>5</v>
      </c>
      <c r="C57" s="1" t="s">
        <v>16</v>
      </c>
      <c r="D57" s="2">
        <v>101</v>
      </c>
      <c r="E57" s="2">
        <v>504</v>
      </c>
      <c r="F57" s="5" t="s">
        <v>181</v>
      </c>
      <c r="G57" s="8">
        <v>3804</v>
      </c>
    </row>
    <row r="58" spans="1:7">
      <c r="A58" s="2" t="str">
        <f t="shared" si="0"/>
        <v>101404</v>
      </c>
      <c r="B58" s="3" t="s">
        <v>5</v>
      </c>
      <c r="C58" s="1" t="s">
        <v>16</v>
      </c>
      <c r="D58" s="2">
        <v>101</v>
      </c>
      <c r="E58" s="2">
        <v>404</v>
      </c>
      <c r="F58" s="5" t="s">
        <v>182</v>
      </c>
      <c r="G58" s="8">
        <v>8761</v>
      </c>
    </row>
    <row r="59" spans="1:7">
      <c r="A59" s="2" t="str">
        <f t="shared" si="0"/>
        <v>101304</v>
      </c>
      <c r="B59" s="3" t="s">
        <v>5</v>
      </c>
      <c r="C59" s="1" t="s">
        <v>16</v>
      </c>
      <c r="D59" s="2">
        <v>101</v>
      </c>
      <c r="E59" s="2">
        <v>304</v>
      </c>
      <c r="F59" s="5" t="s">
        <v>183</v>
      </c>
      <c r="G59" s="8">
        <v>7865</v>
      </c>
    </row>
    <row r="60" spans="1:7">
      <c r="A60" s="2" t="str">
        <f t="shared" si="0"/>
        <v>101204</v>
      </c>
      <c r="B60" s="3" t="s">
        <v>5</v>
      </c>
      <c r="C60" s="1" t="s">
        <v>15</v>
      </c>
      <c r="D60" s="2">
        <v>101</v>
      </c>
      <c r="E60" s="2">
        <v>204</v>
      </c>
      <c r="F60" s="5" t="s">
        <v>184</v>
      </c>
      <c r="G60" s="8">
        <v>2329</v>
      </c>
    </row>
    <row r="61" spans="1:7">
      <c r="A61" s="2" t="str">
        <f t="shared" si="0"/>
        <v>1011605</v>
      </c>
      <c r="B61" s="3" t="s">
        <v>5</v>
      </c>
      <c r="C61" s="1" t="s">
        <v>17</v>
      </c>
      <c r="D61" s="2">
        <v>101</v>
      </c>
      <c r="E61" s="2">
        <v>1605</v>
      </c>
      <c r="F61" s="5" t="s">
        <v>185</v>
      </c>
      <c r="G61" s="8">
        <v>7970</v>
      </c>
    </row>
    <row r="62" spans="1:7">
      <c r="A62" s="2" t="str">
        <f t="shared" si="0"/>
        <v>1011505</v>
      </c>
      <c r="B62" s="3" t="s">
        <v>5</v>
      </c>
      <c r="C62" s="1" t="s">
        <v>15</v>
      </c>
      <c r="D62" s="2">
        <v>101</v>
      </c>
      <c r="E62" s="2">
        <v>1505</v>
      </c>
      <c r="F62" s="5" t="s">
        <v>186</v>
      </c>
      <c r="G62" s="8">
        <v>2409</v>
      </c>
    </row>
    <row r="63" spans="1:7">
      <c r="A63" s="2" t="str">
        <f t="shared" si="0"/>
        <v>1011405</v>
      </c>
      <c r="B63" s="3" t="s">
        <v>5</v>
      </c>
      <c r="C63" s="1" t="s">
        <v>15</v>
      </c>
      <c r="D63" s="2">
        <v>101</v>
      </c>
      <c r="E63" s="2">
        <v>1405</v>
      </c>
      <c r="F63" s="5" t="s">
        <v>187</v>
      </c>
      <c r="G63" s="8">
        <v>3341</v>
      </c>
    </row>
    <row r="64" spans="1:7">
      <c r="A64" s="2" t="str">
        <f t="shared" si="0"/>
        <v>1011305</v>
      </c>
      <c r="B64" s="3" t="s">
        <v>5</v>
      </c>
      <c r="C64" s="1" t="s">
        <v>15</v>
      </c>
      <c r="D64" s="2">
        <v>101</v>
      </c>
      <c r="E64" s="2">
        <v>1305</v>
      </c>
      <c r="F64" s="5" t="s">
        <v>188</v>
      </c>
      <c r="G64" s="8">
        <v>6075</v>
      </c>
    </row>
    <row r="65" spans="1:7">
      <c r="A65" s="2" t="str">
        <f t="shared" si="0"/>
        <v>1011205</v>
      </c>
      <c r="B65" s="3" t="s">
        <v>5</v>
      </c>
      <c r="C65" s="1" t="s">
        <v>15</v>
      </c>
      <c r="D65" s="2">
        <v>101</v>
      </c>
      <c r="E65" s="2">
        <v>1205</v>
      </c>
      <c r="F65" s="5" t="s">
        <v>148</v>
      </c>
      <c r="G65" s="8">
        <v>1092</v>
      </c>
    </row>
    <row r="66" spans="1:7">
      <c r="A66" s="2" t="str">
        <f t="shared" si="0"/>
        <v>1011105</v>
      </c>
      <c r="B66" s="3" t="s">
        <v>5</v>
      </c>
      <c r="C66" s="1" t="s">
        <v>16</v>
      </c>
      <c r="D66" s="2">
        <v>101</v>
      </c>
      <c r="E66" s="2">
        <v>1105</v>
      </c>
      <c r="F66" s="5" t="s">
        <v>189</v>
      </c>
      <c r="G66" s="8">
        <v>7243</v>
      </c>
    </row>
    <row r="67" spans="1:7">
      <c r="A67" s="2" t="str">
        <f t="shared" ref="A67:A130" si="1">CONCATENATE(D67,E67)</f>
        <v>1011005</v>
      </c>
      <c r="B67" s="3" t="s">
        <v>5</v>
      </c>
      <c r="C67" s="1" t="s">
        <v>16</v>
      </c>
      <c r="D67" s="2">
        <v>101</v>
      </c>
      <c r="E67" s="2">
        <v>1005</v>
      </c>
      <c r="F67" s="5" t="s">
        <v>190</v>
      </c>
      <c r="G67" s="8">
        <v>6401</v>
      </c>
    </row>
    <row r="68" spans="1:7">
      <c r="A68" s="2" t="str">
        <f t="shared" si="1"/>
        <v>101905</v>
      </c>
      <c r="B68" s="3" t="s">
        <v>5</v>
      </c>
      <c r="C68" s="1" t="s">
        <v>16</v>
      </c>
      <c r="D68" s="2">
        <v>101</v>
      </c>
      <c r="E68" s="2">
        <v>905</v>
      </c>
      <c r="F68" s="5" t="s">
        <v>191</v>
      </c>
      <c r="G68" s="8">
        <v>3225</v>
      </c>
    </row>
    <row r="69" spans="1:7">
      <c r="A69" s="2" t="str">
        <f t="shared" si="1"/>
        <v>101805</v>
      </c>
      <c r="B69" s="3" t="s">
        <v>5</v>
      </c>
      <c r="C69" s="1" t="s">
        <v>16</v>
      </c>
      <c r="D69" s="2">
        <v>101</v>
      </c>
      <c r="E69" s="2">
        <v>805</v>
      </c>
      <c r="F69" s="5" t="s">
        <v>192</v>
      </c>
      <c r="G69" s="8">
        <v>9575</v>
      </c>
    </row>
    <row r="70" spans="1:7">
      <c r="A70" s="2" t="str">
        <f t="shared" si="1"/>
        <v>101705</v>
      </c>
      <c r="B70" s="3" t="s">
        <v>5</v>
      </c>
      <c r="C70" s="1" t="s">
        <v>16</v>
      </c>
      <c r="D70" s="2">
        <v>101</v>
      </c>
      <c r="E70" s="2">
        <v>705</v>
      </c>
      <c r="F70" s="5" t="s">
        <v>193</v>
      </c>
      <c r="G70" s="8">
        <v>7640</v>
      </c>
    </row>
    <row r="71" spans="1:7">
      <c r="A71" s="2" t="str">
        <f t="shared" si="1"/>
        <v>101605</v>
      </c>
      <c r="B71" s="3" t="s">
        <v>5</v>
      </c>
      <c r="C71" s="1" t="s">
        <v>16</v>
      </c>
      <c r="D71" s="2">
        <v>101</v>
      </c>
      <c r="E71" s="2">
        <v>605</v>
      </c>
      <c r="F71" s="5" t="s">
        <v>194</v>
      </c>
      <c r="G71" s="8">
        <v>4289</v>
      </c>
    </row>
    <row r="72" spans="1:7">
      <c r="A72" s="2" t="str">
        <f t="shared" si="1"/>
        <v>101505</v>
      </c>
      <c r="B72" s="3" t="s">
        <v>5</v>
      </c>
      <c r="C72" s="1" t="s">
        <v>16</v>
      </c>
      <c r="D72" s="2">
        <v>101</v>
      </c>
      <c r="E72" s="2">
        <v>505</v>
      </c>
      <c r="F72" s="5" t="s">
        <v>195</v>
      </c>
      <c r="G72" s="8">
        <v>1907</v>
      </c>
    </row>
    <row r="73" spans="1:7">
      <c r="A73" s="2" t="str">
        <f t="shared" si="1"/>
        <v>101405</v>
      </c>
      <c r="B73" s="3" t="s">
        <v>5</v>
      </c>
      <c r="C73" s="1" t="s">
        <v>16</v>
      </c>
      <c r="D73" s="2">
        <v>101</v>
      </c>
      <c r="E73" s="2">
        <v>405</v>
      </c>
      <c r="F73" s="5" t="s">
        <v>196</v>
      </c>
      <c r="G73" s="8">
        <v>4464</v>
      </c>
    </row>
    <row r="74" spans="1:7">
      <c r="A74" s="2" t="str">
        <f t="shared" si="1"/>
        <v>101305</v>
      </c>
      <c r="B74" s="3" t="s">
        <v>5</v>
      </c>
      <c r="C74" s="1" t="s">
        <v>16</v>
      </c>
      <c r="D74" s="2">
        <v>101</v>
      </c>
      <c r="E74" s="2">
        <v>305</v>
      </c>
      <c r="F74" s="5" t="s">
        <v>197</v>
      </c>
      <c r="G74" s="8">
        <v>8257</v>
      </c>
    </row>
    <row r="75" spans="1:7">
      <c r="A75" s="2" t="str">
        <f t="shared" si="1"/>
        <v>101205</v>
      </c>
      <c r="B75" s="3" t="s">
        <v>5</v>
      </c>
      <c r="C75" s="1" t="s">
        <v>15</v>
      </c>
      <c r="D75" s="2">
        <v>101</v>
      </c>
      <c r="E75" s="2">
        <v>205</v>
      </c>
      <c r="F75" s="5" t="s">
        <v>198</v>
      </c>
      <c r="G75" s="8">
        <v>5220</v>
      </c>
    </row>
    <row r="76" spans="1:7">
      <c r="A76" s="2" t="str">
        <f t="shared" si="1"/>
        <v>1021901</v>
      </c>
      <c r="B76" s="3" t="s">
        <v>5</v>
      </c>
      <c r="C76" s="1" t="s">
        <v>18</v>
      </c>
      <c r="D76" s="2">
        <v>102</v>
      </c>
      <c r="E76" s="2">
        <v>1901</v>
      </c>
      <c r="F76" s="5" t="s">
        <v>199</v>
      </c>
      <c r="G76" s="8">
        <v>9936</v>
      </c>
    </row>
    <row r="77" spans="1:7">
      <c r="A77" s="2" t="str">
        <f t="shared" si="1"/>
        <v>1021801</v>
      </c>
      <c r="B77" s="3" t="s">
        <v>5</v>
      </c>
      <c r="C77" s="1" t="s">
        <v>18</v>
      </c>
      <c r="D77" s="2">
        <v>102</v>
      </c>
      <c r="E77" s="2">
        <v>1801</v>
      </c>
      <c r="F77" s="5" t="s">
        <v>200</v>
      </c>
      <c r="G77" s="8">
        <v>7620</v>
      </c>
    </row>
    <row r="78" spans="1:7">
      <c r="A78" s="2" t="str">
        <f t="shared" si="1"/>
        <v>1021701</v>
      </c>
      <c r="B78" s="3" t="s">
        <v>5</v>
      </c>
      <c r="C78" s="1" t="s">
        <v>18</v>
      </c>
      <c r="D78" s="2">
        <v>102</v>
      </c>
      <c r="E78" s="2">
        <v>1701</v>
      </c>
      <c r="F78" s="5" t="s">
        <v>201</v>
      </c>
      <c r="G78" s="8">
        <v>3070</v>
      </c>
    </row>
    <row r="79" spans="1:7">
      <c r="A79" s="2" t="str">
        <f t="shared" si="1"/>
        <v>1021601</v>
      </c>
      <c r="B79" s="3" t="s">
        <v>5</v>
      </c>
      <c r="C79" s="1" t="s">
        <v>18</v>
      </c>
      <c r="D79" s="2">
        <v>102</v>
      </c>
      <c r="E79" s="2">
        <v>1601</v>
      </c>
      <c r="F79" s="5" t="s">
        <v>202</v>
      </c>
      <c r="G79" s="8">
        <v>6796</v>
      </c>
    </row>
    <row r="80" spans="1:7">
      <c r="A80" s="2" t="str">
        <f t="shared" si="1"/>
        <v>1021501</v>
      </c>
      <c r="B80" s="3" t="s">
        <v>5</v>
      </c>
      <c r="C80" s="1" t="s">
        <v>18</v>
      </c>
      <c r="D80" s="2">
        <v>102</v>
      </c>
      <c r="E80" s="2">
        <v>1501</v>
      </c>
      <c r="F80" s="5" t="s">
        <v>192</v>
      </c>
      <c r="G80" s="8">
        <v>8801</v>
      </c>
    </row>
    <row r="81" spans="1:7">
      <c r="A81" s="2" t="str">
        <f t="shared" si="1"/>
        <v>1021401</v>
      </c>
      <c r="B81" s="3" t="s">
        <v>5</v>
      </c>
      <c r="C81" s="1" t="s">
        <v>18</v>
      </c>
      <c r="D81" s="2">
        <v>102</v>
      </c>
      <c r="E81" s="2">
        <v>1401</v>
      </c>
      <c r="F81" s="5" t="s">
        <v>203</v>
      </c>
      <c r="G81" s="8">
        <v>1914</v>
      </c>
    </row>
    <row r="82" spans="1:7">
      <c r="A82" s="2" t="str">
        <f t="shared" si="1"/>
        <v>1021301</v>
      </c>
      <c r="B82" s="3" t="s">
        <v>5</v>
      </c>
      <c r="C82" s="1" t="s">
        <v>18</v>
      </c>
      <c r="D82" s="2">
        <v>102</v>
      </c>
      <c r="E82" s="2">
        <v>1301</v>
      </c>
      <c r="F82" s="5" t="s">
        <v>204</v>
      </c>
      <c r="G82" s="8">
        <v>3145</v>
      </c>
    </row>
    <row r="83" spans="1:7">
      <c r="A83" s="2" t="str">
        <f t="shared" si="1"/>
        <v>1021201</v>
      </c>
      <c r="B83" s="3" t="s">
        <v>5</v>
      </c>
      <c r="C83" s="1" t="s">
        <v>18</v>
      </c>
      <c r="D83" s="2">
        <v>102</v>
      </c>
      <c r="E83" s="2">
        <v>1201</v>
      </c>
      <c r="F83" s="5" t="s">
        <v>205</v>
      </c>
      <c r="G83" s="8">
        <v>3464</v>
      </c>
    </row>
    <row r="84" spans="1:7">
      <c r="A84" s="2" t="str">
        <f t="shared" si="1"/>
        <v>1021101</v>
      </c>
      <c r="B84" s="3" t="s">
        <v>5</v>
      </c>
      <c r="C84" s="1" t="s">
        <v>18</v>
      </c>
      <c r="D84" s="2">
        <v>102</v>
      </c>
      <c r="E84" s="2">
        <v>1101</v>
      </c>
      <c r="F84" s="5" t="s">
        <v>131</v>
      </c>
      <c r="G84" s="8">
        <v>7689</v>
      </c>
    </row>
    <row r="85" spans="1:7">
      <c r="A85" s="2" t="str">
        <f t="shared" si="1"/>
        <v>1021001</v>
      </c>
      <c r="B85" s="3" t="s">
        <v>5</v>
      </c>
      <c r="C85" s="1" t="s">
        <v>18</v>
      </c>
      <c r="D85" s="2">
        <v>102</v>
      </c>
      <c r="E85" s="2">
        <v>1001</v>
      </c>
      <c r="F85" s="5" t="s">
        <v>206</v>
      </c>
      <c r="G85" s="8">
        <v>3037</v>
      </c>
    </row>
    <row r="86" spans="1:7">
      <c r="A86" s="2" t="str">
        <f t="shared" si="1"/>
        <v>102901</v>
      </c>
      <c r="B86" s="3" t="s">
        <v>5</v>
      </c>
      <c r="C86" s="1" t="s">
        <v>18</v>
      </c>
      <c r="D86" s="2">
        <v>102</v>
      </c>
      <c r="E86" s="2">
        <v>901</v>
      </c>
      <c r="F86" s="5" t="s">
        <v>207</v>
      </c>
      <c r="G86" s="8">
        <v>2580</v>
      </c>
    </row>
    <row r="87" spans="1:7">
      <c r="A87" s="2" t="str">
        <f t="shared" si="1"/>
        <v>102801</v>
      </c>
      <c r="B87" s="3" t="s">
        <v>5</v>
      </c>
      <c r="C87" s="1" t="s">
        <v>18</v>
      </c>
      <c r="D87" s="2">
        <v>102</v>
      </c>
      <c r="E87" s="2">
        <v>801</v>
      </c>
      <c r="F87" s="5" t="s">
        <v>208</v>
      </c>
      <c r="G87" s="8">
        <v>2945</v>
      </c>
    </row>
    <row r="88" spans="1:7">
      <c r="A88" s="2" t="str">
        <f t="shared" si="1"/>
        <v>102701</v>
      </c>
      <c r="B88" s="3" t="s">
        <v>5</v>
      </c>
      <c r="C88" s="1" t="s">
        <v>18</v>
      </c>
      <c r="D88" s="2">
        <v>102</v>
      </c>
      <c r="E88" s="2">
        <v>701</v>
      </c>
      <c r="F88" s="5" t="s">
        <v>209</v>
      </c>
      <c r="G88" s="8">
        <v>3353</v>
      </c>
    </row>
    <row r="89" spans="1:7">
      <c r="A89" s="2" t="str">
        <f t="shared" si="1"/>
        <v>1021902</v>
      </c>
      <c r="B89" s="3" t="s">
        <v>5</v>
      </c>
      <c r="C89" s="1" t="s">
        <v>19</v>
      </c>
      <c r="D89" s="2">
        <v>102</v>
      </c>
      <c r="E89" s="2">
        <v>1902</v>
      </c>
      <c r="F89" s="5" t="s">
        <v>166</v>
      </c>
      <c r="G89" s="8">
        <v>5849</v>
      </c>
    </row>
    <row r="90" spans="1:7">
      <c r="A90" s="2" t="str">
        <f t="shared" si="1"/>
        <v>1021802</v>
      </c>
      <c r="B90" s="3" t="s">
        <v>5</v>
      </c>
      <c r="C90" s="1" t="s">
        <v>19</v>
      </c>
      <c r="D90" s="2">
        <v>102</v>
      </c>
      <c r="E90" s="2">
        <v>1802</v>
      </c>
      <c r="F90" s="5" t="s">
        <v>210</v>
      </c>
      <c r="G90" s="8">
        <v>3853</v>
      </c>
    </row>
    <row r="91" spans="1:7">
      <c r="A91" s="2" t="str">
        <f t="shared" si="1"/>
        <v>1021702</v>
      </c>
      <c r="B91" s="3" t="s">
        <v>5</v>
      </c>
      <c r="C91" s="1" t="s">
        <v>19</v>
      </c>
      <c r="D91" s="2">
        <v>102</v>
      </c>
      <c r="E91" s="2">
        <v>1702</v>
      </c>
      <c r="F91" s="5" t="s">
        <v>211</v>
      </c>
      <c r="G91" s="8">
        <v>3910</v>
      </c>
    </row>
    <row r="92" spans="1:7">
      <c r="A92" s="2" t="str">
        <f t="shared" si="1"/>
        <v>1021602</v>
      </c>
      <c r="B92" s="3" t="s">
        <v>5</v>
      </c>
      <c r="C92" s="1" t="s">
        <v>19</v>
      </c>
      <c r="D92" s="2">
        <v>102</v>
      </c>
      <c r="E92" s="2">
        <v>1602</v>
      </c>
      <c r="F92" s="5" t="s">
        <v>212</v>
      </c>
      <c r="G92" s="8">
        <v>7715</v>
      </c>
    </row>
    <row r="93" spans="1:7">
      <c r="A93" s="2" t="str">
        <f t="shared" si="1"/>
        <v>1021502</v>
      </c>
      <c r="B93" s="3" t="s">
        <v>5</v>
      </c>
      <c r="C93" s="1" t="s">
        <v>19</v>
      </c>
      <c r="D93" s="2">
        <v>102</v>
      </c>
      <c r="E93" s="2">
        <v>1502</v>
      </c>
      <c r="F93" s="5" t="s">
        <v>213</v>
      </c>
      <c r="G93" s="8">
        <v>3384</v>
      </c>
    </row>
    <row r="94" spans="1:7">
      <c r="A94" s="2" t="str">
        <f t="shared" si="1"/>
        <v>1021402</v>
      </c>
      <c r="B94" s="3" t="s">
        <v>5</v>
      </c>
      <c r="C94" s="1" t="s">
        <v>19</v>
      </c>
      <c r="D94" s="2">
        <v>102</v>
      </c>
      <c r="E94" s="2">
        <v>1402</v>
      </c>
      <c r="F94" s="5" t="s">
        <v>163</v>
      </c>
      <c r="G94" s="8">
        <v>4400</v>
      </c>
    </row>
    <row r="95" spans="1:7">
      <c r="A95" s="2" t="str">
        <f t="shared" si="1"/>
        <v>1021302</v>
      </c>
      <c r="B95" s="3" t="s">
        <v>5</v>
      </c>
      <c r="C95" s="1" t="s">
        <v>19</v>
      </c>
      <c r="D95" s="2">
        <v>102</v>
      </c>
      <c r="E95" s="2">
        <v>1302</v>
      </c>
      <c r="F95" s="5" t="s">
        <v>214</v>
      </c>
      <c r="G95" s="8">
        <v>6228</v>
      </c>
    </row>
    <row r="96" spans="1:7">
      <c r="A96" s="2" t="str">
        <f t="shared" si="1"/>
        <v>1021202</v>
      </c>
      <c r="B96" s="3" t="s">
        <v>5</v>
      </c>
      <c r="C96" s="1" t="s">
        <v>19</v>
      </c>
      <c r="D96" s="2">
        <v>102</v>
      </c>
      <c r="E96" s="2">
        <v>1202</v>
      </c>
      <c r="F96" s="5" t="s">
        <v>215</v>
      </c>
      <c r="G96" s="8">
        <v>9177</v>
      </c>
    </row>
    <row r="97" spans="1:7">
      <c r="A97" s="2" t="str">
        <f t="shared" si="1"/>
        <v>1021102</v>
      </c>
      <c r="B97" s="3" t="s">
        <v>5</v>
      </c>
      <c r="C97" s="1" t="s">
        <v>19</v>
      </c>
      <c r="D97" s="2">
        <v>102</v>
      </c>
      <c r="E97" s="2">
        <v>1102</v>
      </c>
      <c r="F97" s="5" t="s">
        <v>216</v>
      </c>
      <c r="G97" s="8">
        <v>4832</v>
      </c>
    </row>
    <row r="98" spans="1:7">
      <c r="A98" s="2" t="str">
        <f t="shared" si="1"/>
        <v>1021002</v>
      </c>
      <c r="B98" s="3" t="s">
        <v>5</v>
      </c>
      <c r="C98" s="1" t="s">
        <v>19</v>
      </c>
      <c r="D98" s="2">
        <v>102</v>
      </c>
      <c r="E98" s="2">
        <v>1002</v>
      </c>
      <c r="F98" s="5" t="s">
        <v>217</v>
      </c>
      <c r="G98" s="8">
        <v>5220</v>
      </c>
    </row>
    <row r="99" spans="1:7">
      <c r="A99" s="2" t="str">
        <f t="shared" si="1"/>
        <v>102902</v>
      </c>
      <c r="B99" s="3" t="s">
        <v>5</v>
      </c>
      <c r="C99" s="1" t="s">
        <v>19</v>
      </c>
      <c r="D99" s="2">
        <v>102</v>
      </c>
      <c r="E99" s="2">
        <v>902</v>
      </c>
      <c r="F99" s="5" t="s">
        <v>218</v>
      </c>
      <c r="G99" s="8">
        <v>2920</v>
      </c>
    </row>
    <row r="100" spans="1:7">
      <c r="A100" s="2" t="str">
        <f t="shared" si="1"/>
        <v>102802</v>
      </c>
      <c r="B100" s="3" t="s">
        <v>5</v>
      </c>
      <c r="C100" s="1" t="s">
        <v>19</v>
      </c>
      <c r="D100" s="2">
        <v>102</v>
      </c>
      <c r="E100" s="2">
        <v>802</v>
      </c>
      <c r="F100" s="5" t="s">
        <v>156</v>
      </c>
      <c r="G100" s="8">
        <v>6926</v>
      </c>
    </row>
    <row r="101" spans="1:7">
      <c r="A101" s="2" t="str">
        <f t="shared" si="1"/>
        <v>102702</v>
      </c>
      <c r="B101" s="3" t="s">
        <v>5</v>
      </c>
      <c r="C101" s="1" t="s">
        <v>19</v>
      </c>
      <c r="D101" s="2">
        <v>102</v>
      </c>
      <c r="E101" s="2">
        <v>702</v>
      </c>
      <c r="F101" s="5" t="s">
        <v>219</v>
      </c>
      <c r="G101" s="8">
        <v>4046</v>
      </c>
    </row>
    <row r="102" spans="1:7">
      <c r="A102" s="2" t="str">
        <f t="shared" si="1"/>
        <v>1021903</v>
      </c>
      <c r="B102" s="3" t="s">
        <v>5</v>
      </c>
      <c r="C102" s="6" t="s">
        <v>20</v>
      </c>
      <c r="D102" s="2">
        <v>102</v>
      </c>
      <c r="E102" s="2">
        <v>1903</v>
      </c>
      <c r="F102" s="5" t="s">
        <v>220</v>
      </c>
      <c r="G102" s="8">
        <v>2186</v>
      </c>
    </row>
    <row r="103" spans="1:7">
      <c r="A103" s="2" t="str">
        <f t="shared" si="1"/>
        <v>1021803</v>
      </c>
      <c r="B103" s="3" t="s">
        <v>5</v>
      </c>
      <c r="C103" s="6" t="s">
        <v>20</v>
      </c>
      <c r="D103" s="2">
        <v>102</v>
      </c>
      <c r="E103" s="2">
        <v>1803</v>
      </c>
      <c r="F103" s="5" t="s">
        <v>221</v>
      </c>
      <c r="G103" s="8">
        <v>9212</v>
      </c>
    </row>
    <row r="104" spans="1:7">
      <c r="A104" s="2" t="str">
        <f t="shared" si="1"/>
        <v>1021703</v>
      </c>
      <c r="B104" s="3" t="s">
        <v>5</v>
      </c>
      <c r="C104" s="6" t="s">
        <v>20</v>
      </c>
      <c r="D104" s="2">
        <v>102</v>
      </c>
      <c r="E104" s="2">
        <v>1703</v>
      </c>
      <c r="F104" s="5" t="s">
        <v>222</v>
      </c>
      <c r="G104" s="8">
        <v>5713</v>
      </c>
    </row>
    <row r="105" spans="1:7">
      <c r="A105" s="2" t="str">
        <f t="shared" si="1"/>
        <v>1021603</v>
      </c>
      <c r="B105" s="3" t="s">
        <v>5</v>
      </c>
      <c r="C105" s="6" t="s">
        <v>20</v>
      </c>
      <c r="D105" s="2">
        <v>102</v>
      </c>
      <c r="E105" s="2">
        <v>1603</v>
      </c>
      <c r="F105" s="5" t="s">
        <v>188</v>
      </c>
      <c r="G105" s="8">
        <v>1182</v>
      </c>
    </row>
    <row r="106" spans="1:7">
      <c r="A106" s="2" t="str">
        <f t="shared" si="1"/>
        <v>1021503</v>
      </c>
      <c r="B106" s="3" t="s">
        <v>5</v>
      </c>
      <c r="C106" s="6" t="s">
        <v>20</v>
      </c>
      <c r="D106" s="2">
        <v>102</v>
      </c>
      <c r="E106" s="2">
        <v>1503</v>
      </c>
      <c r="F106" s="5" t="s">
        <v>223</v>
      </c>
      <c r="G106" s="8">
        <v>1781</v>
      </c>
    </row>
    <row r="107" spans="1:7">
      <c r="A107" s="2" t="str">
        <f t="shared" si="1"/>
        <v>1021403</v>
      </c>
      <c r="B107" s="3" t="s">
        <v>5</v>
      </c>
      <c r="C107" s="6" t="s">
        <v>20</v>
      </c>
      <c r="D107" s="2">
        <v>102</v>
      </c>
      <c r="E107" s="2">
        <v>1403</v>
      </c>
      <c r="F107" s="5" t="s">
        <v>224</v>
      </c>
      <c r="G107" s="8">
        <v>6528</v>
      </c>
    </row>
    <row r="108" spans="1:7">
      <c r="A108" s="2" t="str">
        <f t="shared" si="1"/>
        <v>1021303</v>
      </c>
      <c r="B108" s="3" t="s">
        <v>5</v>
      </c>
      <c r="C108" s="6" t="s">
        <v>20</v>
      </c>
      <c r="D108" s="2">
        <v>102</v>
      </c>
      <c r="E108" s="2">
        <v>1303</v>
      </c>
      <c r="F108" s="5" t="s">
        <v>225</v>
      </c>
      <c r="G108" s="8">
        <v>4544</v>
      </c>
    </row>
    <row r="109" spans="1:7">
      <c r="A109" s="2" t="str">
        <f t="shared" si="1"/>
        <v>1021203</v>
      </c>
      <c r="B109" s="3" t="s">
        <v>5</v>
      </c>
      <c r="C109" s="6" t="s">
        <v>20</v>
      </c>
      <c r="D109" s="2">
        <v>102</v>
      </c>
      <c r="E109" s="2">
        <v>1203</v>
      </c>
      <c r="F109" s="5" t="s">
        <v>226</v>
      </c>
      <c r="G109" s="8">
        <v>7176</v>
      </c>
    </row>
    <row r="110" spans="1:7">
      <c r="A110" s="2" t="str">
        <f t="shared" si="1"/>
        <v>1021103</v>
      </c>
      <c r="B110" s="3" t="s">
        <v>5</v>
      </c>
      <c r="C110" s="6" t="s">
        <v>20</v>
      </c>
      <c r="D110" s="2">
        <v>102</v>
      </c>
      <c r="E110" s="2">
        <v>1103</v>
      </c>
      <c r="F110" s="5" t="s">
        <v>227</v>
      </c>
      <c r="G110" s="8">
        <v>7538</v>
      </c>
    </row>
    <row r="111" spans="1:7">
      <c r="A111" s="2" t="str">
        <f t="shared" si="1"/>
        <v>1021003</v>
      </c>
      <c r="B111" s="3" t="s">
        <v>5</v>
      </c>
      <c r="C111" s="6" t="s">
        <v>20</v>
      </c>
      <c r="D111" s="2">
        <v>102</v>
      </c>
      <c r="E111" s="2">
        <v>1003</v>
      </c>
      <c r="F111" s="5" t="s">
        <v>228</v>
      </c>
      <c r="G111" s="8">
        <v>6517</v>
      </c>
    </row>
    <row r="112" spans="1:7">
      <c r="A112" s="2" t="str">
        <f t="shared" si="1"/>
        <v>102903</v>
      </c>
      <c r="B112" s="3" t="s">
        <v>5</v>
      </c>
      <c r="C112" s="6" t="s">
        <v>20</v>
      </c>
      <c r="D112" s="2">
        <v>102</v>
      </c>
      <c r="E112" s="2">
        <v>903</v>
      </c>
      <c r="F112" s="5" t="s">
        <v>229</v>
      </c>
      <c r="G112" s="8">
        <v>7543</v>
      </c>
    </row>
    <row r="113" spans="1:7">
      <c r="A113" s="2" t="str">
        <f t="shared" si="1"/>
        <v>102803</v>
      </c>
      <c r="B113" s="3" t="s">
        <v>5</v>
      </c>
      <c r="C113" s="6" t="s">
        <v>20</v>
      </c>
      <c r="D113" s="2">
        <v>102</v>
      </c>
      <c r="E113" s="2">
        <v>803</v>
      </c>
      <c r="F113" s="5" t="s">
        <v>230</v>
      </c>
      <c r="G113" s="8">
        <v>7323</v>
      </c>
    </row>
    <row r="114" spans="1:7">
      <c r="A114" s="2" t="str">
        <f t="shared" si="1"/>
        <v>102703</v>
      </c>
      <c r="B114" s="3" t="s">
        <v>5</v>
      </c>
      <c r="C114" s="6" t="s">
        <v>20</v>
      </c>
      <c r="D114" s="2">
        <v>102</v>
      </c>
      <c r="E114" s="2">
        <v>703</v>
      </c>
      <c r="F114" s="5" t="s">
        <v>231</v>
      </c>
      <c r="G114" s="8">
        <v>7784</v>
      </c>
    </row>
    <row r="115" spans="1:7">
      <c r="A115" s="2" t="str">
        <f t="shared" si="1"/>
        <v>1021804</v>
      </c>
      <c r="B115" s="3" t="s">
        <v>5</v>
      </c>
      <c r="C115" s="1" t="s">
        <v>21</v>
      </c>
      <c r="D115" s="2">
        <v>102</v>
      </c>
      <c r="E115" s="2">
        <v>1804</v>
      </c>
      <c r="F115" s="5" t="s">
        <v>232</v>
      </c>
      <c r="G115" s="8">
        <v>7078</v>
      </c>
    </row>
    <row r="116" spans="1:7">
      <c r="A116" s="2" t="str">
        <f t="shared" si="1"/>
        <v>1021704</v>
      </c>
      <c r="B116" s="3" t="s">
        <v>5</v>
      </c>
      <c r="C116" s="1" t="s">
        <v>21</v>
      </c>
      <c r="D116" s="2">
        <v>102</v>
      </c>
      <c r="E116" s="2">
        <v>1704</v>
      </c>
      <c r="F116" s="5" t="s">
        <v>233</v>
      </c>
      <c r="G116" s="8">
        <v>9755</v>
      </c>
    </row>
    <row r="117" spans="1:7">
      <c r="A117" s="2" t="str">
        <f t="shared" si="1"/>
        <v>1021604</v>
      </c>
      <c r="B117" s="3" t="s">
        <v>5</v>
      </c>
      <c r="C117" s="1" t="s">
        <v>21</v>
      </c>
      <c r="D117" s="2">
        <v>102</v>
      </c>
      <c r="E117" s="2">
        <v>1604</v>
      </c>
      <c r="F117" s="5" t="s">
        <v>234</v>
      </c>
      <c r="G117" s="8">
        <v>2518</v>
      </c>
    </row>
    <row r="118" spans="1:7">
      <c r="A118" s="2" t="str">
        <f t="shared" si="1"/>
        <v>1021504</v>
      </c>
      <c r="B118" s="3" t="s">
        <v>5</v>
      </c>
      <c r="C118" s="1" t="s">
        <v>21</v>
      </c>
      <c r="D118" s="2">
        <v>102</v>
      </c>
      <c r="E118" s="2">
        <v>1504</v>
      </c>
      <c r="F118" s="5" t="s">
        <v>235</v>
      </c>
      <c r="G118" s="8">
        <v>3969</v>
      </c>
    </row>
    <row r="119" spans="1:7">
      <c r="A119" s="2" t="str">
        <f t="shared" si="1"/>
        <v>1021404</v>
      </c>
      <c r="B119" s="3" t="s">
        <v>5</v>
      </c>
      <c r="C119" s="1" t="s">
        <v>21</v>
      </c>
      <c r="D119" s="2">
        <v>102</v>
      </c>
      <c r="E119" s="2">
        <v>1404</v>
      </c>
      <c r="F119" s="5" t="s">
        <v>236</v>
      </c>
      <c r="G119" s="8">
        <v>1615</v>
      </c>
    </row>
    <row r="120" spans="1:7">
      <c r="A120" s="2" t="str">
        <f t="shared" si="1"/>
        <v>1021204</v>
      </c>
      <c r="B120" s="3" t="s">
        <v>5</v>
      </c>
      <c r="C120" s="1" t="s">
        <v>21</v>
      </c>
      <c r="D120" s="2">
        <v>102</v>
      </c>
      <c r="E120" s="2">
        <v>1204</v>
      </c>
      <c r="F120" s="5" t="s">
        <v>237</v>
      </c>
      <c r="G120" s="8">
        <v>7111</v>
      </c>
    </row>
    <row r="121" spans="1:7">
      <c r="A121" s="2" t="str">
        <f t="shared" si="1"/>
        <v>1021104</v>
      </c>
      <c r="B121" s="3" t="s">
        <v>5</v>
      </c>
      <c r="C121" s="1" t="s">
        <v>21</v>
      </c>
      <c r="D121" s="2">
        <v>102</v>
      </c>
      <c r="E121" s="2">
        <v>1104</v>
      </c>
      <c r="F121" s="5" t="s">
        <v>238</v>
      </c>
      <c r="G121" s="8">
        <v>7530</v>
      </c>
    </row>
    <row r="122" spans="1:7">
      <c r="A122" s="2" t="str">
        <f t="shared" si="1"/>
        <v>1021004</v>
      </c>
      <c r="B122" s="3" t="s">
        <v>5</v>
      </c>
      <c r="C122" s="1" t="s">
        <v>21</v>
      </c>
      <c r="D122" s="2">
        <v>102</v>
      </c>
      <c r="E122" s="2">
        <v>1004</v>
      </c>
      <c r="F122" s="5" t="s">
        <v>239</v>
      </c>
      <c r="G122" s="8">
        <v>8274</v>
      </c>
    </row>
    <row r="123" spans="1:7">
      <c r="A123" s="2" t="str">
        <f t="shared" si="1"/>
        <v>102904</v>
      </c>
      <c r="B123" s="3" t="s">
        <v>5</v>
      </c>
      <c r="C123" s="1" t="s">
        <v>21</v>
      </c>
      <c r="D123" s="2">
        <v>102</v>
      </c>
      <c r="E123" s="2">
        <v>904</v>
      </c>
      <c r="F123" s="5" t="s">
        <v>240</v>
      </c>
      <c r="G123" s="8">
        <v>4771</v>
      </c>
    </row>
    <row r="124" spans="1:7">
      <c r="A124" s="2" t="str">
        <f t="shared" si="1"/>
        <v>102804</v>
      </c>
      <c r="B124" s="3" t="s">
        <v>5</v>
      </c>
      <c r="C124" s="1" t="s">
        <v>21</v>
      </c>
      <c r="D124" s="2">
        <v>102</v>
      </c>
      <c r="E124" s="2">
        <v>804</v>
      </c>
      <c r="F124" s="5" t="s">
        <v>241</v>
      </c>
      <c r="G124" s="8">
        <v>6102</v>
      </c>
    </row>
    <row r="125" spans="1:7">
      <c r="A125" s="2" t="str">
        <f t="shared" si="1"/>
        <v>102704</v>
      </c>
      <c r="B125" s="3" t="s">
        <v>5</v>
      </c>
      <c r="C125" s="1" t="s">
        <v>21</v>
      </c>
      <c r="D125" s="2">
        <v>102</v>
      </c>
      <c r="E125" s="2">
        <v>704</v>
      </c>
      <c r="F125" s="5" t="s">
        <v>242</v>
      </c>
      <c r="G125" s="8">
        <v>4703</v>
      </c>
    </row>
    <row r="126" spans="1:7">
      <c r="A126" s="2" t="str">
        <f t="shared" si="1"/>
        <v>1021205</v>
      </c>
      <c r="B126" s="3" t="s">
        <v>5</v>
      </c>
      <c r="C126" s="1" t="s">
        <v>22</v>
      </c>
      <c r="D126" s="2">
        <v>102</v>
      </c>
      <c r="E126" s="2">
        <v>1205</v>
      </c>
      <c r="F126" s="5" t="s">
        <v>243</v>
      </c>
      <c r="G126" s="8">
        <v>6089</v>
      </c>
    </row>
    <row r="127" spans="1:7">
      <c r="A127" s="2" t="str">
        <f t="shared" si="1"/>
        <v>1021105</v>
      </c>
      <c r="B127" s="3" t="s">
        <v>5</v>
      </c>
      <c r="C127" s="1" t="s">
        <v>22</v>
      </c>
      <c r="D127" s="2">
        <v>102</v>
      </c>
      <c r="E127" s="2">
        <v>1105</v>
      </c>
      <c r="F127" s="5" t="s">
        <v>244</v>
      </c>
      <c r="G127" s="8">
        <v>2732</v>
      </c>
    </row>
    <row r="128" spans="1:7">
      <c r="A128" s="2" t="str">
        <f t="shared" si="1"/>
        <v>1021005</v>
      </c>
      <c r="B128" s="3" t="s">
        <v>5</v>
      </c>
      <c r="C128" s="1" t="s">
        <v>22</v>
      </c>
      <c r="D128" s="2">
        <v>102</v>
      </c>
      <c r="E128" s="2">
        <v>1005</v>
      </c>
      <c r="F128" s="5" t="s">
        <v>245</v>
      </c>
      <c r="G128" s="8">
        <v>6143</v>
      </c>
    </row>
    <row r="129" spans="1:7">
      <c r="A129" s="2" t="str">
        <f t="shared" si="1"/>
        <v>102905</v>
      </c>
      <c r="B129" s="3" t="s">
        <v>5</v>
      </c>
      <c r="C129" s="1" t="s">
        <v>22</v>
      </c>
      <c r="D129" s="2">
        <v>102</v>
      </c>
      <c r="E129" s="2">
        <v>905</v>
      </c>
      <c r="F129" s="5" t="s">
        <v>246</v>
      </c>
      <c r="G129" s="8">
        <v>4581</v>
      </c>
    </row>
    <row r="130" spans="1:7">
      <c r="A130" s="2" t="str">
        <f t="shared" si="1"/>
        <v>102805</v>
      </c>
      <c r="B130" s="3" t="s">
        <v>5</v>
      </c>
      <c r="C130" s="1" t="s">
        <v>22</v>
      </c>
      <c r="D130" s="2">
        <v>102</v>
      </c>
      <c r="E130" s="2">
        <v>805</v>
      </c>
      <c r="F130" s="5" t="s">
        <v>247</v>
      </c>
      <c r="G130" s="8">
        <v>5091</v>
      </c>
    </row>
    <row r="131" spans="1:7">
      <c r="A131" s="2" t="str">
        <f t="shared" ref="A131:A156" si="2">CONCATENATE(D131,E131)</f>
        <v>102705</v>
      </c>
      <c r="B131" s="3" t="s">
        <v>5</v>
      </c>
      <c r="C131" s="1" t="s">
        <v>22</v>
      </c>
      <c r="D131" s="2">
        <v>102</v>
      </c>
      <c r="E131" s="2">
        <v>705</v>
      </c>
      <c r="F131" s="5" t="s">
        <v>248</v>
      </c>
      <c r="G131" s="8">
        <v>7284</v>
      </c>
    </row>
    <row r="132" spans="1:7">
      <c r="A132" s="2" t="str">
        <f t="shared" si="2"/>
        <v>102601</v>
      </c>
      <c r="B132" s="3" t="s">
        <v>23</v>
      </c>
      <c r="C132" s="1">
        <v>68</v>
      </c>
      <c r="D132" s="2">
        <v>102</v>
      </c>
      <c r="E132" s="2">
        <v>601</v>
      </c>
      <c r="F132" s="5" t="s">
        <v>249</v>
      </c>
      <c r="G132" s="8">
        <v>5855</v>
      </c>
    </row>
    <row r="133" spans="1:7">
      <c r="A133" s="2" t="str">
        <f t="shared" si="2"/>
        <v>102501</v>
      </c>
      <c r="B133" s="3" t="s">
        <v>23</v>
      </c>
      <c r="C133" s="1">
        <v>68</v>
      </c>
      <c r="D133" s="2">
        <v>102</v>
      </c>
      <c r="E133" s="2">
        <v>501</v>
      </c>
      <c r="F133" s="5" t="s">
        <v>250</v>
      </c>
      <c r="G133" s="8">
        <v>8178</v>
      </c>
    </row>
    <row r="134" spans="1:7">
      <c r="A134" s="2" t="str">
        <f t="shared" si="2"/>
        <v>102401</v>
      </c>
      <c r="B134" s="3" t="s">
        <v>23</v>
      </c>
      <c r="C134" s="1">
        <v>68</v>
      </c>
      <c r="D134" s="2">
        <v>102</v>
      </c>
      <c r="E134" s="2">
        <v>401</v>
      </c>
      <c r="F134" s="5" t="s">
        <v>251</v>
      </c>
      <c r="G134" s="8">
        <v>2312</v>
      </c>
    </row>
    <row r="135" spans="1:7">
      <c r="A135" s="2" t="str">
        <f t="shared" si="2"/>
        <v>102301</v>
      </c>
      <c r="B135" s="3" t="s">
        <v>23</v>
      </c>
      <c r="C135" s="1">
        <v>68</v>
      </c>
      <c r="D135" s="2">
        <v>102</v>
      </c>
      <c r="E135" s="2">
        <v>301</v>
      </c>
      <c r="F135" s="5" t="s">
        <v>252</v>
      </c>
      <c r="G135" s="8">
        <v>8173</v>
      </c>
    </row>
    <row r="136" spans="1:7">
      <c r="A136" s="2" t="str">
        <f t="shared" si="2"/>
        <v>102201</v>
      </c>
      <c r="B136" s="3" t="s">
        <v>23</v>
      </c>
      <c r="C136" s="1">
        <v>68</v>
      </c>
      <c r="D136" s="2">
        <v>102</v>
      </c>
      <c r="E136" s="2">
        <v>201</v>
      </c>
      <c r="F136" s="5" t="s">
        <v>253</v>
      </c>
      <c r="G136" s="8">
        <v>7899</v>
      </c>
    </row>
    <row r="137" spans="1:7">
      <c r="A137" s="2" t="str">
        <f t="shared" si="2"/>
        <v>102602</v>
      </c>
      <c r="B137" s="3" t="s">
        <v>23</v>
      </c>
      <c r="C137" s="1">
        <v>79</v>
      </c>
      <c r="D137" s="2">
        <v>102</v>
      </c>
      <c r="E137" s="2">
        <v>602</v>
      </c>
      <c r="F137" s="5" t="s">
        <v>254</v>
      </c>
      <c r="G137" s="8">
        <v>5197</v>
      </c>
    </row>
    <row r="138" spans="1:7">
      <c r="A138" s="2" t="str">
        <f t="shared" si="2"/>
        <v>102502</v>
      </c>
      <c r="B138" s="3" t="s">
        <v>23</v>
      </c>
      <c r="C138" s="1">
        <v>79</v>
      </c>
      <c r="D138" s="2">
        <v>102</v>
      </c>
      <c r="E138" s="2">
        <v>502</v>
      </c>
      <c r="F138" s="5" t="s">
        <v>129</v>
      </c>
      <c r="G138" s="8">
        <v>2141</v>
      </c>
    </row>
    <row r="139" spans="1:7">
      <c r="A139" s="2" t="str">
        <f t="shared" si="2"/>
        <v>102402</v>
      </c>
      <c r="B139" s="3" t="s">
        <v>23</v>
      </c>
      <c r="C139" s="1">
        <v>79</v>
      </c>
      <c r="D139" s="2">
        <v>102</v>
      </c>
      <c r="E139" s="2">
        <v>402</v>
      </c>
      <c r="F139" s="5" t="s">
        <v>255</v>
      </c>
      <c r="G139" s="8">
        <v>9243</v>
      </c>
    </row>
    <row r="140" spans="1:7">
      <c r="A140" s="2" t="str">
        <f t="shared" si="2"/>
        <v>102302</v>
      </c>
      <c r="B140" s="3" t="s">
        <v>23</v>
      </c>
      <c r="C140" s="1">
        <v>79</v>
      </c>
      <c r="D140" s="2">
        <v>102</v>
      </c>
      <c r="E140" s="2">
        <v>302</v>
      </c>
      <c r="F140" s="5" t="s">
        <v>256</v>
      </c>
      <c r="G140" s="8">
        <v>5801</v>
      </c>
    </row>
    <row r="141" spans="1:7">
      <c r="A141" s="2" t="str">
        <f t="shared" si="2"/>
        <v>102202</v>
      </c>
      <c r="B141" s="3" t="s">
        <v>23</v>
      </c>
      <c r="C141" s="1">
        <v>79</v>
      </c>
      <c r="D141" s="2">
        <v>102</v>
      </c>
      <c r="E141" s="2">
        <v>202</v>
      </c>
      <c r="F141" s="5" t="s">
        <v>257</v>
      </c>
      <c r="G141" s="8">
        <v>6252</v>
      </c>
    </row>
    <row r="142" spans="1:7">
      <c r="A142" s="2" t="str">
        <f t="shared" si="2"/>
        <v>102603</v>
      </c>
      <c r="B142" s="3" t="s">
        <v>23</v>
      </c>
      <c r="C142" s="1">
        <v>84</v>
      </c>
      <c r="D142" s="2">
        <v>102</v>
      </c>
      <c r="E142" s="2">
        <v>603</v>
      </c>
      <c r="F142" s="5" t="s">
        <v>258</v>
      </c>
      <c r="G142" s="8">
        <v>8816</v>
      </c>
    </row>
    <row r="143" spans="1:7">
      <c r="A143" s="2" t="str">
        <f t="shared" si="2"/>
        <v>102503</v>
      </c>
      <c r="B143" s="3" t="s">
        <v>23</v>
      </c>
      <c r="C143" s="1">
        <v>84</v>
      </c>
      <c r="D143" s="2">
        <v>102</v>
      </c>
      <c r="E143" s="2">
        <v>503</v>
      </c>
      <c r="F143" s="5" t="s">
        <v>222</v>
      </c>
      <c r="G143" s="8">
        <v>9736</v>
      </c>
    </row>
    <row r="144" spans="1:7">
      <c r="A144" s="2" t="str">
        <f t="shared" si="2"/>
        <v>102403</v>
      </c>
      <c r="B144" s="3" t="s">
        <v>23</v>
      </c>
      <c r="C144" s="1">
        <v>84</v>
      </c>
      <c r="D144" s="2">
        <v>102</v>
      </c>
      <c r="E144" s="2">
        <v>403</v>
      </c>
      <c r="F144" s="5" t="s">
        <v>259</v>
      </c>
      <c r="G144" s="8">
        <v>3085</v>
      </c>
    </row>
    <row r="145" spans="1:7">
      <c r="A145" s="2" t="str">
        <f t="shared" si="2"/>
        <v>102303</v>
      </c>
      <c r="B145" s="3" t="s">
        <v>23</v>
      </c>
      <c r="C145" s="1">
        <v>84</v>
      </c>
      <c r="D145" s="2">
        <v>102</v>
      </c>
      <c r="E145" s="2">
        <v>303</v>
      </c>
      <c r="F145" s="5" t="s">
        <v>260</v>
      </c>
      <c r="G145" s="8">
        <v>5207</v>
      </c>
    </row>
    <row r="146" spans="1:7">
      <c r="A146" s="2" t="str">
        <f t="shared" si="2"/>
        <v>102203</v>
      </c>
      <c r="B146" s="3" t="s">
        <v>23</v>
      </c>
      <c r="C146" s="1">
        <v>84</v>
      </c>
      <c r="D146" s="2">
        <v>102</v>
      </c>
      <c r="E146" s="2">
        <v>203</v>
      </c>
      <c r="F146" s="5" t="s">
        <v>254</v>
      </c>
      <c r="G146" s="8">
        <v>8060</v>
      </c>
    </row>
    <row r="147" spans="1:7">
      <c r="A147" s="2" t="str">
        <f t="shared" si="2"/>
        <v>102604</v>
      </c>
      <c r="B147" s="3" t="s">
        <v>23</v>
      </c>
      <c r="C147" s="1" t="s">
        <v>24</v>
      </c>
      <c r="D147" s="2">
        <v>102</v>
      </c>
      <c r="E147" s="2">
        <v>604</v>
      </c>
      <c r="F147" s="5" t="s">
        <v>261</v>
      </c>
      <c r="G147" s="8">
        <v>5765</v>
      </c>
    </row>
    <row r="148" spans="1:7">
      <c r="A148" s="2" t="str">
        <f t="shared" si="2"/>
        <v>102504</v>
      </c>
      <c r="B148" s="3" t="s">
        <v>23</v>
      </c>
      <c r="C148" s="1" t="s">
        <v>24</v>
      </c>
      <c r="D148" s="2">
        <v>102</v>
      </c>
      <c r="E148" s="2">
        <v>504</v>
      </c>
      <c r="F148" s="5" t="s">
        <v>262</v>
      </c>
      <c r="G148" s="8">
        <v>7706</v>
      </c>
    </row>
    <row r="149" spans="1:7">
      <c r="A149" s="2" t="str">
        <f t="shared" si="2"/>
        <v>102404</v>
      </c>
      <c r="B149" s="3" t="s">
        <v>23</v>
      </c>
      <c r="C149" s="1" t="s">
        <v>24</v>
      </c>
      <c r="D149" s="2">
        <v>102</v>
      </c>
      <c r="E149" s="2">
        <v>404</v>
      </c>
      <c r="F149" s="5" t="s">
        <v>263</v>
      </c>
      <c r="G149" s="8">
        <v>3611</v>
      </c>
    </row>
    <row r="150" spans="1:7">
      <c r="A150" s="2" t="str">
        <f t="shared" si="2"/>
        <v>102304</v>
      </c>
      <c r="B150" s="3" t="s">
        <v>23</v>
      </c>
      <c r="C150" s="1" t="s">
        <v>24</v>
      </c>
      <c r="D150" s="2">
        <v>102</v>
      </c>
      <c r="E150" s="2">
        <v>304</v>
      </c>
      <c r="F150" s="5" t="s">
        <v>264</v>
      </c>
      <c r="G150" s="8">
        <v>5625</v>
      </c>
    </row>
    <row r="151" spans="1:7">
      <c r="A151" s="2" t="str">
        <f t="shared" si="2"/>
        <v>102204</v>
      </c>
      <c r="B151" s="3" t="s">
        <v>23</v>
      </c>
      <c r="C151" s="1" t="s">
        <v>24</v>
      </c>
      <c r="D151" s="2">
        <v>102</v>
      </c>
      <c r="E151" s="2">
        <v>204</v>
      </c>
      <c r="F151" s="5" t="s">
        <v>265</v>
      </c>
      <c r="G151" s="8">
        <v>7208</v>
      </c>
    </row>
    <row r="152" spans="1:7">
      <c r="A152" s="2" t="str">
        <f t="shared" si="2"/>
        <v>102605</v>
      </c>
      <c r="B152" s="3" t="s">
        <v>23</v>
      </c>
      <c r="C152" s="1" t="s">
        <v>25</v>
      </c>
      <c r="D152" s="2">
        <v>102</v>
      </c>
      <c r="E152" s="2">
        <v>605</v>
      </c>
      <c r="F152" s="5" t="s">
        <v>266</v>
      </c>
      <c r="G152" s="8">
        <v>8209</v>
      </c>
    </row>
    <row r="153" spans="1:7">
      <c r="A153" s="2" t="str">
        <f t="shared" si="2"/>
        <v>102505</v>
      </c>
      <c r="B153" s="3" t="s">
        <v>23</v>
      </c>
      <c r="C153" s="1" t="s">
        <v>25</v>
      </c>
      <c r="D153" s="2">
        <v>102</v>
      </c>
      <c r="E153" s="2">
        <v>505</v>
      </c>
      <c r="F153" s="5" t="s">
        <v>267</v>
      </c>
      <c r="G153" s="8">
        <v>4186</v>
      </c>
    </row>
    <row r="154" spans="1:7">
      <c r="A154" s="2" t="str">
        <f t="shared" si="2"/>
        <v>102405</v>
      </c>
      <c r="B154" s="3" t="s">
        <v>23</v>
      </c>
      <c r="C154" s="1" t="s">
        <v>25</v>
      </c>
      <c r="D154" s="2">
        <v>102</v>
      </c>
      <c r="E154" s="2">
        <v>405</v>
      </c>
      <c r="F154" s="5" t="s">
        <v>268</v>
      </c>
      <c r="G154" s="8">
        <v>7223</v>
      </c>
    </row>
    <row r="155" spans="1:7">
      <c r="A155" s="2" t="str">
        <f t="shared" si="2"/>
        <v>102305</v>
      </c>
      <c r="B155" s="3" t="s">
        <v>23</v>
      </c>
      <c r="C155" s="1" t="s">
        <v>25</v>
      </c>
      <c r="D155" s="2">
        <v>102</v>
      </c>
      <c r="E155" s="2">
        <v>305</v>
      </c>
      <c r="F155" s="5" t="s">
        <v>269</v>
      </c>
      <c r="G155" s="8">
        <v>6518</v>
      </c>
    </row>
    <row r="156" spans="1:7">
      <c r="A156" s="2" t="str">
        <f t="shared" si="2"/>
        <v>102205</v>
      </c>
      <c r="B156" s="3" t="s">
        <v>23</v>
      </c>
      <c r="C156" s="1" t="s">
        <v>25</v>
      </c>
      <c r="D156" s="2">
        <v>102</v>
      </c>
      <c r="E156" s="2">
        <v>205</v>
      </c>
      <c r="F156" s="5" t="s">
        <v>270</v>
      </c>
      <c r="G156" s="8">
        <v>4238</v>
      </c>
    </row>
  </sheetData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B49F8-F6D0-408F-B5D2-71F63BD5E652}">
  <dimension ref="A1:AA156"/>
  <sheetViews>
    <sheetView tabSelected="1" zoomScale="115" zoomScaleNormal="115" workbookViewId="0">
      <selection sqref="A1:AA156"/>
    </sheetView>
  </sheetViews>
  <sheetFormatPr baseColWidth="10" defaultColWidth="8.83203125" defaultRowHeight="17"/>
  <cols>
    <col min="1" max="1" width="4.1640625" bestFit="1" customWidth="1"/>
    <col min="2" max="2" width="6.83203125" bestFit="1" customWidth="1"/>
    <col min="3" max="3" width="9.6640625" bestFit="1" customWidth="1"/>
    <col min="4" max="4" width="4.1640625" bestFit="1" customWidth="1"/>
    <col min="5" max="5" width="3.6640625" bestFit="1" customWidth="1"/>
    <col min="6" max="6" width="4.33203125" bestFit="1" customWidth="1"/>
    <col min="8" max="8" width="14.5" bestFit="1" customWidth="1"/>
  </cols>
  <sheetData>
    <row r="1" spans="1:27" ht="62.5" customHeight="1">
      <c r="A1" s="4" t="s">
        <v>45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26</v>
      </c>
      <c r="H1" s="4" t="s">
        <v>271</v>
      </c>
      <c r="I1" s="112" t="s">
        <v>27</v>
      </c>
      <c r="J1" s="113" t="s">
        <v>28</v>
      </c>
      <c r="K1" s="113" t="s">
        <v>29</v>
      </c>
      <c r="L1" s="113" t="s">
        <v>30</v>
      </c>
      <c r="M1" s="113" t="s">
        <v>31</v>
      </c>
      <c r="N1" s="113" t="s">
        <v>32</v>
      </c>
      <c r="O1" s="113" t="s">
        <v>33</v>
      </c>
      <c r="P1" s="113" t="s">
        <v>34</v>
      </c>
      <c r="Q1" s="113" t="s">
        <v>35</v>
      </c>
      <c r="R1" s="113" t="s">
        <v>36</v>
      </c>
      <c r="S1" s="113" t="s">
        <v>37</v>
      </c>
      <c r="T1" s="113" t="s">
        <v>38</v>
      </c>
      <c r="U1" s="113" t="s">
        <v>39</v>
      </c>
      <c r="V1" s="113" t="s">
        <v>40</v>
      </c>
      <c r="W1" s="113" t="s">
        <v>41</v>
      </c>
      <c r="X1" s="113" t="s">
        <v>42</v>
      </c>
      <c r="Y1" s="113" t="s">
        <v>43</v>
      </c>
      <c r="Z1" s="113" t="s">
        <v>44</v>
      </c>
      <c r="AA1" s="114" t="s">
        <v>272</v>
      </c>
    </row>
    <row r="2" spans="1:27">
      <c r="A2" s="2">
        <v>1</v>
      </c>
      <c r="B2" s="2" t="str">
        <f>CONCATENATE(E2,F2)</f>
        <v>1011101</v>
      </c>
      <c r="C2" s="3" t="s">
        <v>5</v>
      </c>
      <c r="D2" s="1" t="s">
        <v>6</v>
      </c>
      <c r="E2" s="2">
        <v>101</v>
      </c>
      <c r="F2" s="2">
        <v>1101</v>
      </c>
      <c r="G2" s="5" t="s">
        <v>127</v>
      </c>
      <c r="H2" s="8">
        <v>3115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7">
      <c r="A3" s="2">
        <v>2</v>
      </c>
      <c r="B3" s="2" t="str">
        <f t="shared" ref="B3:B66" si="0">CONCATENATE(E3,F3)</f>
        <v>1011001</v>
      </c>
      <c r="C3" s="3" t="s">
        <v>5</v>
      </c>
      <c r="D3" s="1" t="s">
        <v>6</v>
      </c>
      <c r="E3" s="2">
        <v>101</v>
      </c>
      <c r="F3" s="2">
        <v>1001</v>
      </c>
      <c r="G3" s="5" t="s">
        <v>128</v>
      </c>
      <c r="H3" s="8">
        <v>4536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7">
      <c r="A4" s="2">
        <v>3</v>
      </c>
      <c r="B4" s="2" t="str">
        <f t="shared" si="0"/>
        <v>101901</v>
      </c>
      <c r="C4" s="3" t="s">
        <v>5</v>
      </c>
      <c r="D4" s="1" t="s">
        <v>6</v>
      </c>
      <c r="E4" s="2">
        <v>101</v>
      </c>
      <c r="F4" s="2">
        <v>901</v>
      </c>
      <c r="G4" s="5" t="s">
        <v>129</v>
      </c>
      <c r="H4" s="8">
        <v>7238</v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7">
      <c r="A5" s="2">
        <v>4</v>
      </c>
      <c r="B5" s="2" t="str">
        <f t="shared" si="0"/>
        <v>101801</v>
      </c>
      <c r="C5" s="3" t="s">
        <v>5</v>
      </c>
      <c r="D5" s="1" t="s">
        <v>6</v>
      </c>
      <c r="E5" s="2">
        <v>101</v>
      </c>
      <c r="F5" s="2">
        <v>801</v>
      </c>
      <c r="G5" s="5" t="s">
        <v>130</v>
      </c>
      <c r="H5" s="8">
        <v>4278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7">
      <c r="A6" s="2">
        <v>5</v>
      </c>
      <c r="B6" s="2" t="str">
        <f t="shared" si="0"/>
        <v>101701</v>
      </c>
      <c r="C6" s="3" t="s">
        <v>5</v>
      </c>
      <c r="D6" s="1" t="s">
        <v>6</v>
      </c>
      <c r="E6" s="2">
        <v>101</v>
      </c>
      <c r="F6" s="2">
        <v>701</v>
      </c>
      <c r="G6" s="5" t="s">
        <v>131</v>
      </c>
      <c r="H6" s="8">
        <v>3929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7">
      <c r="A7" s="2">
        <v>6</v>
      </c>
      <c r="B7" s="2" t="str">
        <f t="shared" si="0"/>
        <v>101601</v>
      </c>
      <c r="C7" s="3" t="s">
        <v>5</v>
      </c>
      <c r="D7" s="1" t="s">
        <v>6</v>
      </c>
      <c r="E7" s="2">
        <v>101</v>
      </c>
      <c r="F7" s="2">
        <v>601</v>
      </c>
      <c r="G7" s="5" t="s">
        <v>132</v>
      </c>
      <c r="H7" s="8">
        <v>4772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7">
      <c r="A8" s="2">
        <v>7</v>
      </c>
      <c r="B8" s="2" t="str">
        <f t="shared" si="0"/>
        <v>101501</v>
      </c>
      <c r="C8" s="3" t="s">
        <v>5</v>
      </c>
      <c r="D8" s="1" t="s">
        <v>6</v>
      </c>
      <c r="E8" s="2">
        <v>101</v>
      </c>
      <c r="F8" s="2">
        <v>501</v>
      </c>
      <c r="G8" s="5" t="s">
        <v>133</v>
      </c>
      <c r="H8" s="8">
        <v>5070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7">
      <c r="A9" s="2">
        <v>8</v>
      </c>
      <c r="B9" s="2" t="str">
        <f t="shared" si="0"/>
        <v>101401</v>
      </c>
      <c r="C9" s="3" t="s">
        <v>5</v>
      </c>
      <c r="D9" s="1" t="s">
        <v>6</v>
      </c>
      <c r="E9" s="2">
        <v>101</v>
      </c>
      <c r="F9" s="2">
        <v>401</v>
      </c>
      <c r="G9" s="5" t="s">
        <v>134</v>
      </c>
      <c r="H9" s="8">
        <v>3183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7">
      <c r="A10" s="2">
        <v>9</v>
      </c>
      <c r="B10" s="2" t="str">
        <f t="shared" si="0"/>
        <v>101301</v>
      </c>
      <c r="C10" s="3" t="s">
        <v>5</v>
      </c>
      <c r="D10" s="1" t="s">
        <v>6</v>
      </c>
      <c r="E10" s="2">
        <v>101</v>
      </c>
      <c r="F10" s="2">
        <v>301</v>
      </c>
      <c r="G10" s="5" t="s">
        <v>135</v>
      </c>
      <c r="H10" s="8">
        <v>2418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7">
      <c r="A11" s="2">
        <v>10</v>
      </c>
      <c r="B11" s="2" t="str">
        <f t="shared" si="0"/>
        <v>101201</v>
      </c>
      <c r="C11" s="3" t="s">
        <v>5</v>
      </c>
      <c r="D11" s="1" t="s">
        <v>7</v>
      </c>
      <c r="E11" s="2">
        <v>101</v>
      </c>
      <c r="F11" s="2">
        <v>201</v>
      </c>
      <c r="G11" s="5" t="s">
        <v>136</v>
      </c>
      <c r="H11" s="8">
        <v>5114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7">
      <c r="A12" s="2">
        <v>11</v>
      </c>
      <c r="B12" s="2" t="str">
        <f t="shared" si="0"/>
        <v>1011601</v>
      </c>
      <c r="C12" s="3" t="s">
        <v>5</v>
      </c>
      <c r="D12" s="1" t="s">
        <v>8</v>
      </c>
      <c r="E12" s="2">
        <v>101</v>
      </c>
      <c r="F12" s="2">
        <v>1601</v>
      </c>
      <c r="G12" s="5" t="s">
        <v>137</v>
      </c>
      <c r="H12" s="8">
        <v>7276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7">
      <c r="A13" s="2">
        <v>12</v>
      </c>
      <c r="B13" s="2" t="str">
        <f t="shared" si="0"/>
        <v>1011501</v>
      </c>
      <c r="C13" s="3" t="s">
        <v>5</v>
      </c>
      <c r="D13" s="1" t="s">
        <v>9</v>
      </c>
      <c r="E13" s="2">
        <v>101</v>
      </c>
      <c r="F13" s="2">
        <v>1501</v>
      </c>
      <c r="G13" s="5" t="s">
        <v>138</v>
      </c>
      <c r="H13" s="8">
        <v>9696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7">
      <c r="A14" s="2">
        <v>13</v>
      </c>
      <c r="B14" s="2" t="str">
        <f t="shared" si="0"/>
        <v>1011401</v>
      </c>
      <c r="C14" s="3" t="s">
        <v>5</v>
      </c>
      <c r="D14" s="1" t="s">
        <v>9</v>
      </c>
      <c r="E14" s="2">
        <v>101</v>
      </c>
      <c r="F14" s="2">
        <v>1401</v>
      </c>
      <c r="G14" s="5" t="s">
        <v>139</v>
      </c>
      <c r="H14" s="8">
        <v>9824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7">
      <c r="A15" s="2">
        <v>14</v>
      </c>
      <c r="B15" s="2" t="str">
        <f t="shared" si="0"/>
        <v>1011301</v>
      </c>
      <c r="C15" s="3" t="s">
        <v>5</v>
      </c>
      <c r="D15" s="1" t="s">
        <v>9</v>
      </c>
      <c r="E15" s="2">
        <v>101</v>
      </c>
      <c r="F15" s="2">
        <v>1301</v>
      </c>
      <c r="G15" s="5" t="s">
        <v>140</v>
      </c>
      <c r="H15" s="8">
        <v>2471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7">
      <c r="A16" s="2">
        <v>15</v>
      </c>
      <c r="B16" s="2" t="str">
        <f t="shared" si="0"/>
        <v>1011201</v>
      </c>
      <c r="C16" s="3" t="s">
        <v>5</v>
      </c>
      <c r="D16" s="1" t="s">
        <v>9</v>
      </c>
      <c r="E16" s="2">
        <v>101</v>
      </c>
      <c r="F16" s="2">
        <v>1201</v>
      </c>
      <c r="G16" s="5" t="s">
        <v>141</v>
      </c>
      <c r="H16" s="8">
        <v>9016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2">
        <v>16</v>
      </c>
      <c r="B17" s="2" t="str">
        <f t="shared" si="0"/>
        <v>1011502</v>
      </c>
      <c r="C17" s="3" t="s">
        <v>5</v>
      </c>
      <c r="D17" s="1">
        <v>43</v>
      </c>
      <c r="E17" s="2">
        <v>101</v>
      </c>
      <c r="F17" s="2">
        <v>1502</v>
      </c>
      <c r="G17" s="5" t="s">
        <v>142</v>
      </c>
      <c r="H17" s="8">
        <v>4268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2">
        <v>17</v>
      </c>
      <c r="B18" s="2" t="str">
        <f t="shared" si="0"/>
        <v>1011402</v>
      </c>
      <c r="C18" s="3" t="s">
        <v>5</v>
      </c>
      <c r="D18" s="1" t="s">
        <v>10</v>
      </c>
      <c r="E18" s="2">
        <v>101</v>
      </c>
      <c r="F18" s="2">
        <v>1402</v>
      </c>
      <c r="G18" s="5" t="s">
        <v>143</v>
      </c>
      <c r="H18" s="8">
        <v>7908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2">
        <v>18</v>
      </c>
      <c r="B19" s="2" t="str">
        <f t="shared" si="0"/>
        <v>1011302</v>
      </c>
      <c r="C19" s="3" t="s">
        <v>5</v>
      </c>
      <c r="D19" s="1" t="s">
        <v>10</v>
      </c>
      <c r="E19" s="2">
        <v>101</v>
      </c>
      <c r="F19" s="2">
        <v>1302</v>
      </c>
      <c r="G19" s="5" t="s">
        <v>144</v>
      </c>
      <c r="H19" s="8">
        <v>4550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2">
        <v>19</v>
      </c>
      <c r="B20" s="2" t="str">
        <f t="shared" si="0"/>
        <v>1011202</v>
      </c>
      <c r="C20" s="3" t="s">
        <v>5</v>
      </c>
      <c r="D20" s="1" t="s">
        <v>10</v>
      </c>
      <c r="E20" s="2">
        <v>101</v>
      </c>
      <c r="F20" s="2">
        <v>1202</v>
      </c>
      <c r="G20" s="5" t="s">
        <v>145</v>
      </c>
      <c r="H20" s="8">
        <v>7127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2">
        <v>20</v>
      </c>
      <c r="B21" s="2" t="str">
        <f t="shared" si="0"/>
        <v>1011102</v>
      </c>
      <c r="C21" s="3" t="s">
        <v>5</v>
      </c>
      <c r="D21" s="1" t="s">
        <v>11</v>
      </c>
      <c r="E21" s="2">
        <v>101</v>
      </c>
      <c r="F21" s="2">
        <v>1102</v>
      </c>
      <c r="G21" s="5" t="s">
        <v>146</v>
      </c>
      <c r="H21" s="8">
        <v>7358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2">
        <v>21</v>
      </c>
      <c r="B22" s="2" t="str">
        <f t="shared" si="0"/>
        <v>1011002</v>
      </c>
      <c r="C22" s="3" t="s">
        <v>5</v>
      </c>
      <c r="D22" s="1" t="s">
        <v>11</v>
      </c>
      <c r="E22" s="2">
        <v>101</v>
      </c>
      <c r="F22" s="2">
        <v>1002</v>
      </c>
      <c r="G22" s="5" t="s">
        <v>147</v>
      </c>
      <c r="H22" s="8">
        <v>4483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2">
        <v>22</v>
      </c>
      <c r="B23" s="2" t="str">
        <f t="shared" si="0"/>
        <v>101902</v>
      </c>
      <c r="C23" s="3" t="s">
        <v>5</v>
      </c>
      <c r="D23" s="1" t="s">
        <v>11</v>
      </c>
      <c r="E23" s="2">
        <v>101</v>
      </c>
      <c r="F23" s="2">
        <v>902</v>
      </c>
      <c r="G23" s="5" t="s">
        <v>148</v>
      </c>
      <c r="H23" s="8">
        <v>3494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2">
        <v>23</v>
      </c>
      <c r="B24" s="2" t="str">
        <f t="shared" si="0"/>
        <v>101802</v>
      </c>
      <c r="C24" s="3" t="s">
        <v>5</v>
      </c>
      <c r="D24" s="1" t="s">
        <v>11</v>
      </c>
      <c r="E24" s="2">
        <v>101</v>
      </c>
      <c r="F24" s="2">
        <v>802</v>
      </c>
      <c r="G24" s="5" t="s">
        <v>149</v>
      </c>
      <c r="H24" s="8">
        <v>8560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2">
        <v>24</v>
      </c>
      <c r="B25" s="2" t="str">
        <f t="shared" si="0"/>
        <v>101702</v>
      </c>
      <c r="C25" s="3" t="s">
        <v>5</v>
      </c>
      <c r="D25" s="1" t="s">
        <v>11</v>
      </c>
      <c r="E25" s="2">
        <v>101</v>
      </c>
      <c r="F25" s="2">
        <v>702</v>
      </c>
      <c r="G25" s="5" t="s">
        <v>150</v>
      </c>
      <c r="H25" s="8">
        <v>3932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2">
        <v>25</v>
      </c>
      <c r="B26" s="2" t="str">
        <f t="shared" si="0"/>
        <v>101602</v>
      </c>
      <c r="C26" s="3" t="s">
        <v>5</v>
      </c>
      <c r="D26" s="1" t="s">
        <v>11</v>
      </c>
      <c r="E26" s="2">
        <v>101</v>
      </c>
      <c r="F26" s="2">
        <v>602</v>
      </c>
      <c r="G26" s="5" t="s">
        <v>151</v>
      </c>
      <c r="H26" s="8">
        <v>6551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2">
        <v>26</v>
      </c>
      <c r="B27" s="2" t="str">
        <f t="shared" si="0"/>
        <v>101502</v>
      </c>
      <c r="C27" s="3" t="s">
        <v>5</v>
      </c>
      <c r="D27" s="1" t="s">
        <v>11</v>
      </c>
      <c r="E27" s="2">
        <v>101</v>
      </c>
      <c r="F27" s="2">
        <v>502</v>
      </c>
      <c r="G27" s="5" t="s">
        <v>152</v>
      </c>
      <c r="H27" s="8">
        <v>2359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2">
        <v>27</v>
      </c>
      <c r="B28" s="2" t="str">
        <f t="shared" si="0"/>
        <v>101402</v>
      </c>
      <c r="C28" s="3" t="s">
        <v>5</v>
      </c>
      <c r="D28" s="1" t="s">
        <v>11</v>
      </c>
      <c r="E28" s="2">
        <v>101</v>
      </c>
      <c r="F28" s="2">
        <v>402</v>
      </c>
      <c r="G28" s="5" t="s">
        <v>153</v>
      </c>
      <c r="H28" s="8">
        <v>9662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2">
        <v>28</v>
      </c>
      <c r="B29" s="2" t="str">
        <f t="shared" si="0"/>
        <v>101302</v>
      </c>
      <c r="C29" s="3" t="s">
        <v>5</v>
      </c>
      <c r="D29" s="1" t="s">
        <v>11</v>
      </c>
      <c r="E29" s="2">
        <v>101</v>
      </c>
      <c r="F29" s="2">
        <v>302</v>
      </c>
      <c r="G29" s="5" t="s">
        <v>154</v>
      </c>
      <c r="H29" s="8">
        <v>2438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2">
        <v>29</v>
      </c>
      <c r="B30" s="2" t="str">
        <f t="shared" si="0"/>
        <v>101202</v>
      </c>
      <c r="C30" s="3" t="s">
        <v>5</v>
      </c>
      <c r="D30" s="1" t="s">
        <v>10</v>
      </c>
      <c r="E30" s="2">
        <v>101</v>
      </c>
      <c r="F30" s="2">
        <v>202</v>
      </c>
      <c r="G30" s="5" t="s">
        <v>155</v>
      </c>
      <c r="H30" s="8">
        <v>8684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2">
        <v>30</v>
      </c>
      <c r="B31" s="2" t="str">
        <f t="shared" si="0"/>
        <v>1011603</v>
      </c>
      <c r="C31" s="3" t="s">
        <v>5</v>
      </c>
      <c r="D31" s="1" t="s">
        <v>12</v>
      </c>
      <c r="E31" s="2">
        <v>101</v>
      </c>
      <c r="F31" s="2">
        <v>1603</v>
      </c>
      <c r="G31" s="5" t="s">
        <v>156</v>
      </c>
      <c r="H31" s="8">
        <v>6183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2">
        <v>31</v>
      </c>
      <c r="B32" s="2" t="str">
        <f t="shared" si="0"/>
        <v>1011503</v>
      </c>
      <c r="C32" s="3" t="s">
        <v>5</v>
      </c>
      <c r="D32" s="1" t="s">
        <v>13</v>
      </c>
      <c r="E32" s="2">
        <v>101</v>
      </c>
      <c r="F32" s="2">
        <v>1503</v>
      </c>
      <c r="G32" s="5" t="s">
        <v>157</v>
      </c>
      <c r="H32" s="8">
        <v>7596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2">
        <v>32</v>
      </c>
      <c r="B33" s="2" t="str">
        <f t="shared" si="0"/>
        <v>1011403</v>
      </c>
      <c r="C33" s="3" t="s">
        <v>5</v>
      </c>
      <c r="D33" s="1" t="s">
        <v>13</v>
      </c>
      <c r="E33" s="2">
        <v>101</v>
      </c>
      <c r="F33" s="2">
        <v>1403</v>
      </c>
      <c r="G33" s="5" t="s">
        <v>158</v>
      </c>
      <c r="H33" s="8">
        <v>1698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2">
        <v>33</v>
      </c>
      <c r="B34" s="2" t="str">
        <f t="shared" si="0"/>
        <v>1011303</v>
      </c>
      <c r="C34" s="3" t="s">
        <v>5</v>
      </c>
      <c r="D34" s="1" t="s">
        <v>13</v>
      </c>
      <c r="E34" s="2">
        <v>101</v>
      </c>
      <c r="F34" s="2">
        <v>1303</v>
      </c>
      <c r="G34" s="5" t="s">
        <v>159</v>
      </c>
      <c r="H34" s="8">
        <v>5413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2">
        <v>34</v>
      </c>
      <c r="B35" s="2" t="str">
        <f t="shared" si="0"/>
        <v>1011203</v>
      </c>
      <c r="C35" s="3" t="s">
        <v>5</v>
      </c>
      <c r="D35" s="1" t="s">
        <v>13</v>
      </c>
      <c r="E35" s="2">
        <v>101</v>
      </c>
      <c r="F35" s="2">
        <v>1203</v>
      </c>
      <c r="G35" s="5" t="s">
        <v>160</v>
      </c>
      <c r="H35" s="8">
        <v>1124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2">
        <v>35</v>
      </c>
      <c r="B36" s="2" t="str">
        <f t="shared" si="0"/>
        <v>1011103</v>
      </c>
      <c r="C36" s="3" t="s">
        <v>5</v>
      </c>
      <c r="D36" s="1" t="s">
        <v>14</v>
      </c>
      <c r="E36" s="2">
        <v>101</v>
      </c>
      <c r="F36" s="2">
        <v>1103</v>
      </c>
      <c r="G36" s="5" t="s">
        <v>161</v>
      </c>
      <c r="H36" s="8">
        <v>7966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2">
        <v>36</v>
      </c>
      <c r="B37" s="2" t="str">
        <f t="shared" si="0"/>
        <v>1011003</v>
      </c>
      <c r="C37" s="3" t="s">
        <v>5</v>
      </c>
      <c r="D37" s="1" t="s">
        <v>14</v>
      </c>
      <c r="E37" s="2">
        <v>101</v>
      </c>
      <c r="F37" s="2">
        <v>1003</v>
      </c>
      <c r="G37" s="5" t="s">
        <v>162</v>
      </c>
      <c r="H37" s="8">
        <v>4338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2">
        <v>37</v>
      </c>
      <c r="B38" s="2" t="str">
        <f t="shared" si="0"/>
        <v>101903</v>
      </c>
      <c r="C38" s="3" t="s">
        <v>5</v>
      </c>
      <c r="D38" s="1" t="s">
        <v>14</v>
      </c>
      <c r="E38" s="2">
        <v>101</v>
      </c>
      <c r="F38" s="2">
        <v>903</v>
      </c>
      <c r="G38" s="5" t="s">
        <v>163</v>
      </c>
      <c r="H38" s="8">
        <v>6939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2">
        <v>38</v>
      </c>
      <c r="B39" s="2" t="str">
        <f t="shared" si="0"/>
        <v>101803</v>
      </c>
      <c r="C39" s="3" t="s">
        <v>5</v>
      </c>
      <c r="D39" s="1" t="s">
        <v>14</v>
      </c>
      <c r="E39" s="2">
        <v>101</v>
      </c>
      <c r="F39" s="2">
        <v>803</v>
      </c>
      <c r="G39" s="5" t="s">
        <v>164</v>
      </c>
      <c r="H39" s="8">
        <v>9754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2">
        <v>39</v>
      </c>
      <c r="B40" s="2" t="str">
        <f t="shared" si="0"/>
        <v>101703</v>
      </c>
      <c r="C40" s="3" t="s">
        <v>5</v>
      </c>
      <c r="D40" s="1" t="s">
        <v>14</v>
      </c>
      <c r="E40" s="2">
        <v>101</v>
      </c>
      <c r="F40" s="2">
        <v>703</v>
      </c>
      <c r="G40" s="5" t="s">
        <v>165</v>
      </c>
      <c r="H40" s="8">
        <v>2324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2">
        <v>40</v>
      </c>
      <c r="B41" s="2" t="str">
        <f t="shared" si="0"/>
        <v>101603</v>
      </c>
      <c r="C41" s="3" t="s">
        <v>5</v>
      </c>
      <c r="D41" s="1" t="s">
        <v>14</v>
      </c>
      <c r="E41" s="2">
        <v>101</v>
      </c>
      <c r="F41" s="2">
        <v>603</v>
      </c>
      <c r="G41" s="5" t="s">
        <v>166</v>
      </c>
      <c r="H41" s="8">
        <v>8570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2">
        <v>41</v>
      </c>
      <c r="B42" s="2" t="str">
        <f t="shared" si="0"/>
        <v>101503</v>
      </c>
      <c r="C42" s="3" t="s">
        <v>5</v>
      </c>
      <c r="D42" s="1" t="s">
        <v>14</v>
      </c>
      <c r="E42" s="2">
        <v>101</v>
      </c>
      <c r="F42" s="2">
        <v>503</v>
      </c>
      <c r="G42" s="5" t="s">
        <v>167</v>
      </c>
      <c r="H42" s="8">
        <v>9497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2">
        <v>42</v>
      </c>
      <c r="B43" s="2" t="str">
        <f t="shared" si="0"/>
        <v>101403</v>
      </c>
      <c r="C43" s="3" t="s">
        <v>5</v>
      </c>
      <c r="D43" s="1" t="s">
        <v>14</v>
      </c>
      <c r="E43" s="2">
        <v>101</v>
      </c>
      <c r="F43" s="2">
        <v>403</v>
      </c>
      <c r="G43" s="5" t="s">
        <v>168</v>
      </c>
      <c r="H43" s="8">
        <v>4245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2">
        <v>43</v>
      </c>
      <c r="B44" s="2" t="str">
        <f t="shared" si="0"/>
        <v>101303</v>
      </c>
      <c r="C44" s="3" t="s">
        <v>5</v>
      </c>
      <c r="D44" s="1" t="s">
        <v>14</v>
      </c>
      <c r="E44" s="2">
        <v>101</v>
      </c>
      <c r="F44" s="2">
        <v>303</v>
      </c>
      <c r="G44" s="5" t="s">
        <v>169</v>
      </c>
      <c r="H44" s="8">
        <v>8580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2">
        <v>44</v>
      </c>
      <c r="B45" s="2" t="str">
        <f t="shared" si="0"/>
        <v>101203</v>
      </c>
      <c r="C45" s="3" t="s">
        <v>5</v>
      </c>
      <c r="D45" s="1" t="s">
        <v>13</v>
      </c>
      <c r="E45" s="2">
        <v>101</v>
      </c>
      <c r="F45" s="2">
        <v>203</v>
      </c>
      <c r="G45" s="5" t="s">
        <v>170</v>
      </c>
      <c r="H45" s="8">
        <v>1840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2">
        <v>45</v>
      </c>
      <c r="B46" s="2" t="str">
        <f t="shared" si="0"/>
        <v>1011604</v>
      </c>
      <c r="C46" s="3" t="s">
        <v>5</v>
      </c>
      <c r="D46" s="1" t="s">
        <v>15</v>
      </c>
      <c r="E46" s="2">
        <v>101</v>
      </c>
      <c r="F46" s="2">
        <v>1604</v>
      </c>
      <c r="G46" s="5" t="s">
        <v>171</v>
      </c>
      <c r="H46" s="8">
        <v>6857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2">
        <v>46</v>
      </c>
      <c r="B47" s="2" t="str">
        <f t="shared" si="0"/>
        <v>1011504</v>
      </c>
      <c r="C47" s="3" t="s">
        <v>5</v>
      </c>
      <c r="D47" s="1" t="s">
        <v>15</v>
      </c>
      <c r="E47" s="2">
        <v>101</v>
      </c>
      <c r="F47" s="2">
        <v>1504</v>
      </c>
      <c r="G47" s="103" t="s">
        <v>172</v>
      </c>
      <c r="H47" s="104">
        <v>5604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2">
        <v>47</v>
      </c>
      <c r="B48" s="2" t="str">
        <f t="shared" si="0"/>
        <v>1011404</v>
      </c>
      <c r="C48" s="3" t="s">
        <v>5</v>
      </c>
      <c r="D48" s="1" t="s">
        <v>15</v>
      </c>
      <c r="E48" s="2">
        <v>101</v>
      </c>
      <c r="F48" s="2">
        <v>1404</v>
      </c>
      <c r="G48" s="103" t="s">
        <v>173</v>
      </c>
      <c r="H48" s="104">
        <v>5833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2">
        <v>48</v>
      </c>
      <c r="B49" s="2" t="str">
        <f t="shared" si="0"/>
        <v>1011304</v>
      </c>
      <c r="C49" s="3" t="s">
        <v>5</v>
      </c>
      <c r="D49" s="1" t="s">
        <v>15</v>
      </c>
      <c r="E49" s="2">
        <v>101</v>
      </c>
      <c r="F49" s="2">
        <v>1304</v>
      </c>
      <c r="G49" s="5" t="s">
        <v>174</v>
      </c>
      <c r="H49" s="8">
        <v>3634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2">
        <v>49</v>
      </c>
      <c r="B50" s="2" t="str">
        <f t="shared" si="0"/>
        <v>1011204</v>
      </c>
      <c r="C50" s="3" t="s">
        <v>5</v>
      </c>
      <c r="D50" s="1" t="s">
        <v>15</v>
      </c>
      <c r="E50" s="2">
        <v>101</v>
      </c>
      <c r="F50" s="2">
        <v>1204</v>
      </c>
      <c r="G50" s="5" t="s">
        <v>134</v>
      </c>
      <c r="H50" s="8">
        <v>8237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>
      <c r="A51" s="2">
        <v>50</v>
      </c>
      <c r="B51" s="2" t="str">
        <f t="shared" si="0"/>
        <v>1011104</v>
      </c>
      <c r="C51" s="3" t="s">
        <v>5</v>
      </c>
      <c r="D51" s="1" t="s">
        <v>16</v>
      </c>
      <c r="E51" s="2">
        <v>101</v>
      </c>
      <c r="F51" s="2">
        <v>1104</v>
      </c>
      <c r="G51" s="5" t="s">
        <v>175</v>
      </c>
      <c r="H51" s="8">
        <v>3910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>
      <c r="A52" s="2">
        <v>51</v>
      </c>
      <c r="B52" s="2" t="str">
        <f t="shared" si="0"/>
        <v>1011004</v>
      </c>
      <c r="C52" s="3" t="s">
        <v>5</v>
      </c>
      <c r="D52" s="1" t="s">
        <v>16</v>
      </c>
      <c r="E52" s="2">
        <v>101</v>
      </c>
      <c r="F52" s="2">
        <v>1004</v>
      </c>
      <c r="G52" s="5" t="s">
        <v>176</v>
      </c>
      <c r="H52" s="8">
        <v>9244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>
      <c r="A53" s="2">
        <v>52</v>
      </c>
      <c r="B53" s="2" t="str">
        <f t="shared" si="0"/>
        <v>101904</v>
      </c>
      <c r="C53" s="3" t="s">
        <v>5</v>
      </c>
      <c r="D53" s="1" t="s">
        <v>16</v>
      </c>
      <c r="E53" s="2">
        <v>101</v>
      </c>
      <c r="F53" s="2">
        <v>904</v>
      </c>
      <c r="G53" s="5" t="s">
        <v>177</v>
      </c>
      <c r="H53" s="8">
        <v>3883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>
      <c r="A54" s="2">
        <v>53</v>
      </c>
      <c r="B54" s="2" t="str">
        <f t="shared" si="0"/>
        <v>101804</v>
      </c>
      <c r="C54" s="3" t="s">
        <v>5</v>
      </c>
      <c r="D54" s="1" t="s">
        <v>16</v>
      </c>
      <c r="E54" s="2">
        <v>101</v>
      </c>
      <c r="F54" s="2">
        <v>804</v>
      </c>
      <c r="G54" s="5" t="s">
        <v>178</v>
      </c>
      <c r="H54" s="8">
        <v>1607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>
      <c r="A55" s="2">
        <v>54</v>
      </c>
      <c r="B55" s="2" t="str">
        <f t="shared" si="0"/>
        <v>101704</v>
      </c>
      <c r="C55" s="3" t="s">
        <v>5</v>
      </c>
      <c r="D55" s="1" t="s">
        <v>16</v>
      </c>
      <c r="E55" s="2">
        <v>101</v>
      </c>
      <c r="F55" s="2">
        <v>704</v>
      </c>
      <c r="G55" s="5" t="s">
        <v>179</v>
      </c>
      <c r="H55" s="8">
        <v>2798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>
      <c r="A56" s="2">
        <v>55</v>
      </c>
      <c r="B56" s="2" t="str">
        <f t="shared" si="0"/>
        <v>101604</v>
      </c>
      <c r="C56" s="3" t="s">
        <v>5</v>
      </c>
      <c r="D56" s="1" t="s">
        <v>16</v>
      </c>
      <c r="E56" s="2">
        <v>101</v>
      </c>
      <c r="F56" s="2">
        <v>604</v>
      </c>
      <c r="G56" s="5" t="s">
        <v>180</v>
      </c>
      <c r="H56" s="8">
        <v>1381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>
      <c r="A57" s="2">
        <v>56</v>
      </c>
      <c r="B57" s="2" t="str">
        <f t="shared" si="0"/>
        <v>101504</v>
      </c>
      <c r="C57" s="3" t="s">
        <v>5</v>
      </c>
      <c r="D57" s="1" t="s">
        <v>16</v>
      </c>
      <c r="E57" s="2">
        <v>101</v>
      </c>
      <c r="F57" s="2">
        <v>504</v>
      </c>
      <c r="G57" s="5" t="s">
        <v>181</v>
      </c>
      <c r="H57" s="8">
        <v>3804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>
      <c r="A58" s="2">
        <v>57</v>
      </c>
      <c r="B58" s="2" t="str">
        <f t="shared" si="0"/>
        <v>101404</v>
      </c>
      <c r="C58" s="3" t="s">
        <v>5</v>
      </c>
      <c r="D58" s="1" t="s">
        <v>16</v>
      </c>
      <c r="E58" s="2">
        <v>101</v>
      </c>
      <c r="F58" s="2">
        <v>404</v>
      </c>
      <c r="G58" s="5" t="s">
        <v>182</v>
      </c>
      <c r="H58" s="8">
        <v>8761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>
      <c r="A59" s="2">
        <v>58</v>
      </c>
      <c r="B59" s="2" t="str">
        <f t="shared" si="0"/>
        <v>101304</v>
      </c>
      <c r="C59" s="3" t="s">
        <v>5</v>
      </c>
      <c r="D59" s="1" t="s">
        <v>16</v>
      </c>
      <c r="E59" s="2">
        <v>101</v>
      </c>
      <c r="F59" s="2">
        <v>304</v>
      </c>
      <c r="G59" s="5" t="s">
        <v>183</v>
      </c>
      <c r="H59" s="8">
        <v>7865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>
      <c r="A60" s="2">
        <v>59</v>
      </c>
      <c r="B60" s="2" t="str">
        <f t="shared" si="0"/>
        <v>101204</v>
      </c>
      <c r="C60" s="3" t="s">
        <v>5</v>
      </c>
      <c r="D60" s="1" t="s">
        <v>15</v>
      </c>
      <c r="E60" s="2">
        <v>101</v>
      </c>
      <c r="F60" s="2">
        <v>204</v>
      </c>
      <c r="G60" s="5" t="s">
        <v>184</v>
      </c>
      <c r="H60" s="8">
        <v>2329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>
      <c r="A61" s="2">
        <v>60</v>
      </c>
      <c r="B61" s="2" t="str">
        <f t="shared" si="0"/>
        <v>1011605</v>
      </c>
      <c r="C61" s="3" t="s">
        <v>5</v>
      </c>
      <c r="D61" s="1" t="s">
        <v>17</v>
      </c>
      <c r="E61" s="2">
        <v>101</v>
      </c>
      <c r="F61" s="2">
        <v>1605</v>
      </c>
      <c r="G61" s="5" t="s">
        <v>185</v>
      </c>
      <c r="H61" s="8">
        <v>7970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>
      <c r="A62" s="2">
        <v>61</v>
      </c>
      <c r="B62" s="2" t="str">
        <f t="shared" si="0"/>
        <v>1011505</v>
      </c>
      <c r="C62" s="3" t="s">
        <v>5</v>
      </c>
      <c r="D62" s="1" t="s">
        <v>15</v>
      </c>
      <c r="E62" s="2">
        <v>101</v>
      </c>
      <c r="F62" s="2">
        <v>1505</v>
      </c>
      <c r="G62" s="5" t="s">
        <v>186</v>
      </c>
      <c r="H62" s="8">
        <v>2409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>
      <c r="A63" s="2">
        <v>62</v>
      </c>
      <c r="B63" s="2" t="str">
        <f t="shared" si="0"/>
        <v>1011405</v>
      </c>
      <c r="C63" s="3" t="s">
        <v>5</v>
      </c>
      <c r="D63" s="1" t="s">
        <v>15</v>
      </c>
      <c r="E63" s="2">
        <v>101</v>
      </c>
      <c r="F63" s="2">
        <v>1405</v>
      </c>
      <c r="G63" s="5" t="s">
        <v>187</v>
      </c>
      <c r="H63" s="8">
        <v>3341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>
      <c r="A64" s="2">
        <v>63</v>
      </c>
      <c r="B64" s="2" t="str">
        <f t="shared" si="0"/>
        <v>1011305</v>
      </c>
      <c r="C64" s="3" t="s">
        <v>5</v>
      </c>
      <c r="D64" s="1" t="s">
        <v>15</v>
      </c>
      <c r="E64" s="2">
        <v>101</v>
      </c>
      <c r="F64" s="2">
        <v>1305</v>
      </c>
      <c r="G64" s="5" t="s">
        <v>188</v>
      </c>
      <c r="H64" s="8">
        <v>6075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>
      <c r="A65" s="2">
        <v>64</v>
      </c>
      <c r="B65" s="2" t="str">
        <f t="shared" si="0"/>
        <v>1011205</v>
      </c>
      <c r="C65" s="3" t="s">
        <v>5</v>
      </c>
      <c r="D65" s="1" t="s">
        <v>15</v>
      </c>
      <c r="E65" s="2">
        <v>101</v>
      </c>
      <c r="F65" s="2">
        <v>1205</v>
      </c>
      <c r="G65" s="5" t="s">
        <v>148</v>
      </c>
      <c r="H65" s="8">
        <v>1092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>
      <c r="A66" s="2">
        <v>65</v>
      </c>
      <c r="B66" s="2" t="str">
        <f t="shared" si="0"/>
        <v>1011105</v>
      </c>
      <c r="C66" s="3" t="s">
        <v>5</v>
      </c>
      <c r="D66" s="1" t="s">
        <v>16</v>
      </c>
      <c r="E66" s="2">
        <v>101</v>
      </c>
      <c r="F66" s="2">
        <v>1105</v>
      </c>
      <c r="G66" s="5" t="s">
        <v>189</v>
      </c>
      <c r="H66" s="8">
        <v>7243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>
      <c r="A67" s="2">
        <v>66</v>
      </c>
      <c r="B67" s="2" t="str">
        <f t="shared" ref="B67:B130" si="1">CONCATENATE(E67,F67)</f>
        <v>1011005</v>
      </c>
      <c r="C67" s="3" t="s">
        <v>5</v>
      </c>
      <c r="D67" s="1" t="s">
        <v>16</v>
      </c>
      <c r="E67" s="2">
        <v>101</v>
      </c>
      <c r="F67" s="2">
        <v>1005</v>
      </c>
      <c r="G67" s="5" t="s">
        <v>190</v>
      </c>
      <c r="H67" s="8">
        <v>6401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>
      <c r="A68" s="2">
        <v>67</v>
      </c>
      <c r="B68" s="2" t="str">
        <f t="shared" si="1"/>
        <v>101905</v>
      </c>
      <c r="C68" s="3" t="s">
        <v>5</v>
      </c>
      <c r="D68" s="1" t="s">
        <v>16</v>
      </c>
      <c r="E68" s="2">
        <v>101</v>
      </c>
      <c r="F68" s="2">
        <v>905</v>
      </c>
      <c r="G68" s="5" t="s">
        <v>191</v>
      </c>
      <c r="H68" s="8">
        <v>3225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>
      <c r="A69" s="2">
        <v>68</v>
      </c>
      <c r="B69" s="2" t="str">
        <f t="shared" si="1"/>
        <v>101805</v>
      </c>
      <c r="C69" s="3" t="s">
        <v>5</v>
      </c>
      <c r="D69" s="1" t="s">
        <v>16</v>
      </c>
      <c r="E69" s="2">
        <v>101</v>
      </c>
      <c r="F69" s="2">
        <v>805</v>
      </c>
      <c r="G69" s="5" t="s">
        <v>192</v>
      </c>
      <c r="H69" s="8">
        <v>9575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>
      <c r="A70" s="2">
        <v>69</v>
      </c>
      <c r="B70" s="2" t="str">
        <f t="shared" si="1"/>
        <v>101705</v>
      </c>
      <c r="C70" s="3" t="s">
        <v>5</v>
      </c>
      <c r="D70" s="1" t="s">
        <v>16</v>
      </c>
      <c r="E70" s="2">
        <v>101</v>
      </c>
      <c r="F70" s="2">
        <v>705</v>
      </c>
      <c r="G70" s="5" t="s">
        <v>193</v>
      </c>
      <c r="H70" s="8">
        <v>7640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>
      <c r="A71" s="2">
        <v>70</v>
      </c>
      <c r="B71" s="2" t="str">
        <f t="shared" si="1"/>
        <v>101605</v>
      </c>
      <c r="C71" s="3" t="s">
        <v>5</v>
      </c>
      <c r="D71" s="1" t="s">
        <v>16</v>
      </c>
      <c r="E71" s="2">
        <v>101</v>
      </c>
      <c r="F71" s="2">
        <v>605</v>
      </c>
      <c r="G71" s="5" t="s">
        <v>194</v>
      </c>
      <c r="H71" s="8">
        <v>4289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>
      <c r="A72" s="2">
        <v>71</v>
      </c>
      <c r="B72" s="2" t="str">
        <f t="shared" si="1"/>
        <v>101505</v>
      </c>
      <c r="C72" s="3" t="s">
        <v>5</v>
      </c>
      <c r="D72" s="1" t="s">
        <v>16</v>
      </c>
      <c r="E72" s="2">
        <v>101</v>
      </c>
      <c r="F72" s="2">
        <v>505</v>
      </c>
      <c r="G72" s="5" t="s">
        <v>195</v>
      </c>
      <c r="H72" s="8">
        <v>1907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>
      <c r="A73" s="2">
        <v>72</v>
      </c>
      <c r="B73" s="2" t="str">
        <f t="shared" si="1"/>
        <v>101405</v>
      </c>
      <c r="C73" s="3" t="s">
        <v>5</v>
      </c>
      <c r="D73" s="1" t="s">
        <v>16</v>
      </c>
      <c r="E73" s="2">
        <v>101</v>
      </c>
      <c r="F73" s="2">
        <v>405</v>
      </c>
      <c r="G73" s="5" t="s">
        <v>196</v>
      </c>
      <c r="H73" s="8">
        <v>4464</v>
      </c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>
      <c r="A74" s="2">
        <v>73</v>
      </c>
      <c r="B74" s="2" t="str">
        <f t="shared" si="1"/>
        <v>101305</v>
      </c>
      <c r="C74" s="3" t="s">
        <v>5</v>
      </c>
      <c r="D74" s="1" t="s">
        <v>16</v>
      </c>
      <c r="E74" s="2">
        <v>101</v>
      </c>
      <c r="F74" s="2">
        <v>305</v>
      </c>
      <c r="G74" s="5" t="s">
        <v>197</v>
      </c>
      <c r="H74" s="8">
        <v>8257</v>
      </c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>
      <c r="A75" s="2">
        <v>74</v>
      </c>
      <c r="B75" s="2" t="str">
        <f t="shared" si="1"/>
        <v>101205</v>
      </c>
      <c r="C75" s="3" t="s">
        <v>5</v>
      </c>
      <c r="D75" s="1" t="s">
        <v>15</v>
      </c>
      <c r="E75" s="2">
        <v>101</v>
      </c>
      <c r="F75" s="2">
        <v>205</v>
      </c>
      <c r="G75" s="5" t="s">
        <v>198</v>
      </c>
      <c r="H75" s="8">
        <v>5220</v>
      </c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>
      <c r="A76" s="2">
        <v>75</v>
      </c>
      <c r="B76" s="2" t="str">
        <f t="shared" si="1"/>
        <v>1021901</v>
      </c>
      <c r="C76" s="3" t="s">
        <v>5</v>
      </c>
      <c r="D76" s="1" t="s">
        <v>18</v>
      </c>
      <c r="E76" s="2">
        <v>102</v>
      </c>
      <c r="F76" s="2">
        <v>1901</v>
      </c>
      <c r="G76" s="5" t="s">
        <v>199</v>
      </c>
      <c r="H76" s="8">
        <v>9936</v>
      </c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>
      <c r="A77" s="2">
        <v>76</v>
      </c>
      <c r="B77" s="2" t="str">
        <f t="shared" si="1"/>
        <v>1021801</v>
      </c>
      <c r="C77" s="3" t="s">
        <v>5</v>
      </c>
      <c r="D77" s="1" t="s">
        <v>18</v>
      </c>
      <c r="E77" s="2">
        <v>102</v>
      </c>
      <c r="F77" s="2">
        <v>1801</v>
      </c>
      <c r="G77" s="5" t="s">
        <v>200</v>
      </c>
      <c r="H77" s="8">
        <v>7620</v>
      </c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>
      <c r="A78" s="2">
        <v>77</v>
      </c>
      <c r="B78" s="2" t="str">
        <f t="shared" si="1"/>
        <v>1021701</v>
      </c>
      <c r="C78" s="3" t="s">
        <v>5</v>
      </c>
      <c r="D78" s="1" t="s">
        <v>18</v>
      </c>
      <c r="E78" s="2">
        <v>102</v>
      </c>
      <c r="F78" s="2">
        <v>1701</v>
      </c>
      <c r="G78" s="5" t="s">
        <v>201</v>
      </c>
      <c r="H78" s="8">
        <v>3070</v>
      </c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>
      <c r="A79" s="2">
        <v>78</v>
      </c>
      <c r="B79" s="2" t="str">
        <f t="shared" si="1"/>
        <v>1021601</v>
      </c>
      <c r="C79" s="3" t="s">
        <v>5</v>
      </c>
      <c r="D79" s="1" t="s">
        <v>18</v>
      </c>
      <c r="E79" s="2">
        <v>102</v>
      </c>
      <c r="F79" s="2">
        <v>1601</v>
      </c>
      <c r="G79" s="5" t="s">
        <v>202</v>
      </c>
      <c r="H79" s="8">
        <v>6796</v>
      </c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>
      <c r="A80" s="2">
        <v>79</v>
      </c>
      <c r="B80" s="2" t="str">
        <f t="shared" si="1"/>
        <v>1021501</v>
      </c>
      <c r="C80" s="3" t="s">
        <v>5</v>
      </c>
      <c r="D80" s="1" t="s">
        <v>18</v>
      </c>
      <c r="E80" s="2">
        <v>102</v>
      </c>
      <c r="F80" s="2">
        <v>1501</v>
      </c>
      <c r="G80" s="5" t="s">
        <v>192</v>
      </c>
      <c r="H80" s="8">
        <v>8801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>
      <c r="A81" s="2">
        <v>80</v>
      </c>
      <c r="B81" s="2" t="str">
        <f t="shared" si="1"/>
        <v>1021401</v>
      </c>
      <c r="C81" s="3" t="s">
        <v>5</v>
      </c>
      <c r="D81" s="1" t="s">
        <v>18</v>
      </c>
      <c r="E81" s="2">
        <v>102</v>
      </c>
      <c r="F81" s="2">
        <v>1401</v>
      </c>
      <c r="G81" s="5" t="s">
        <v>203</v>
      </c>
      <c r="H81" s="8">
        <v>1914</v>
      </c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>
      <c r="A82" s="2">
        <v>81</v>
      </c>
      <c r="B82" s="2" t="str">
        <f t="shared" si="1"/>
        <v>1021301</v>
      </c>
      <c r="C82" s="3" t="s">
        <v>5</v>
      </c>
      <c r="D82" s="1" t="s">
        <v>18</v>
      </c>
      <c r="E82" s="2">
        <v>102</v>
      </c>
      <c r="F82" s="2">
        <v>1301</v>
      </c>
      <c r="G82" s="5" t="s">
        <v>204</v>
      </c>
      <c r="H82" s="8">
        <v>3145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>
      <c r="A83" s="2">
        <v>82</v>
      </c>
      <c r="B83" s="2" t="str">
        <f t="shared" si="1"/>
        <v>1021201</v>
      </c>
      <c r="C83" s="3" t="s">
        <v>5</v>
      </c>
      <c r="D83" s="1" t="s">
        <v>18</v>
      </c>
      <c r="E83" s="2">
        <v>102</v>
      </c>
      <c r="F83" s="2">
        <v>1201</v>
      </c>
      <c r="G83" s="5" t="s">
        <v>205</v>
      </c>
      <c r="H83" s="8">
        <v>3464</v>
      </c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>
      <c r="A84" s="2">
        <v>83</v>
      </c>
      <c r="B84" s="2" t="str">
        <f t="shared" si="1"/>
        <v>1021101</v>
      </c>
      <c r="C84" s="3" t="s">
        <v>5</v>
      </c>
      <c r="D84" s="1" t="s">
        <v>18</v>
      </c>
      <c r="E84" s="2">
        <v>102</v>
      </c>
      <c r="F84" s="2">
        <v>1101</v>
      </c>
      <c r="G84" s="5" t="s">
        <v>131</v>
      </c>
      <c r="H84" s="8">
        <v>7689</v>
      </c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>
      <c r="A85" s="2">
        <v>84</v>
      </c>
      <c r="B85" s="2" t="str">
        <f t="shared" si="1"/>
        <v>1021001</v>
      </c>
      <c r="C85" s="3" t="s">
        <v>5</v>
      </c>
      <c r="D85" s="1" t="s">
        <v>18</v>
      </c>
      <c r="E85" s="2">
        <v>102</v>
      </c>
      <c r="F85" s="2">
        <v>1001</v>
      </c>
      <c r="G85" s="5" t="s">
        <v>206</v>
      </c>
      <c r="H85" s="8">
        <v>3037</v>
      </c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>
      <c r="A86" s="2">
        <v>85</v>
      </c>
      <c r="B86" s="2" t="str">
        <f t="shared" si="1"/>
        <v>102901</v>
      </c>
      <c r="C86" s="3" t="s">
        <v>5</v>
      </c>
      <c r="D86" s="1" t="s">
        <v>18</v>
      </c>
      <c r="E86" s="2">
        <v>102</v>
      </c>
      <c r="F86" s="2">
        <v>901</v>
      </c>
      <c r="G86" s="5" t="s">
        <v>207</v>
      </c>
      <c r="H86" s="8">
        <v>2580</v>
      </c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>
      <c r="A87" s="2">
        <v>86</v>
      </c>
      <c r="B87" s="2" t="str">
        <f t="shared" si="1"/>
        <v>102801</v>
      </c>
      <c r="C87" s="3" t="s">
        <v>5</v>
      </c>
      <c r="D87" s="1" t="s">
        <v>18</v>
      </c>
      <c r="E87" s="2">
        <v>102</v>
      </c>
      <c r="F87" s="2">
        <v>801</v>
      </c>
      <c r="G87" s="5" t="s">
        <v>208</v>
      </c>
      <c r="H87" s="8">
        <v>2945</v>
      </c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>
      <c r="A88" s="2">
        <v>87</v>
      </c>
      <c r="B88" s="2" t="str">
        <f t="shared" si="1"/>
        <v>102701</v>
      </c>
      <c r="C88" s="3" t="s">
        <v>5</v>
      </c>
      <c r="D88" s="1" t="s">
        <v>18</v>
      </c>
      <c r="E88" s="2">
        <v>102</v>
      </c>
      <c r="F88" s="2">
        <v>701</v>
      </c>
      <c r="G88" s="5" t="s">
        <v>209</v>
      </c>
      <c r="H88" s="8">
        <v>3353</v>
      </c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>
      <c r="A89" s="2">
        <v>88</v>
      </c>
      <c r="B89" s="2" t="str">
        <f t="shared" si="1"/>
        <v>1021902</v>
      </c>
      <c r="C89" s="3" t="s">
        <v>5</v>
      </c>
      <c r="D89" s="1" t="s">
        <v>19</v>
      </c>
      <c r="E89" s="2">
        <v>102</v>
      </c>
      <c r="F89" s="2">
        <v>1902</v>
      </c>
      <c r="G89" s="5" t="s">
        <v>166</v>
      </c>
      <c r="H89" s="8">
        <v>5849</v>
      </c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>
      <c r="A90" s="2">
        <v>89</v>
      </c>
      <c r="B90" s="2" t="str">
        <f t="shared" si="1"/>
        <v>1021802</v>
      </c>
      <c r="C90" s="3" t="s">
        <v>5</v>
      </c>
      <c r="D90" s="1" t="s">
        <v>19</v>
      </c>
      <c r="E90" s="2">
        <v>102</v>
      </c>
      <c r="F90" s="2">
        <v>1802</v>
      </c>
      <c r="G90" s="5" t="s">
        <v>210</v>
      </c>
      <c r="H90" s="8">
        <v>3853</v>
      </c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>
      <c r="A91" s="2">
        <v>90</v>
      </c>
      <c r="B91" s="2" t="str">
        <f t="shared" si="1"/>
        <v>1021702</v>
      </c>
      <c r="C91" s="3" t="s">
        <v>5</v>
      </c>
      <c r="D91" s="1" t="s">
        <v>19</v>
      </c>
      <c r="E91" s="2">
        <v>102</v>
      </c>
      <c r="F91" s="2">
        <v>1702</v>
      </c>
      <c r="G91" s="5" t="s">
        <v>211</v>
      </c>
      <c r="H91" s="8">
        <v>3910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>
      <c r="A92" s="2">
        <v>91</v>
      </c>
      <c r="B92" s="2" t="str">
        <f t="shared" si="1"/>
        <v>1021602</v>
      </c>
      <c r="C92" s="3" t="s">
        <v>5</v>
      </c>
      <c r="D92" s="1" t="s">
        <v>19</v>
      </c>
      <c r="E92" s="2">
        <v>102</v>
      </c>
      <c r="F92" s="2">
        <v>1602</v>
      </c>
      <c r="G92" s="5" t="s">
        <v>212</v>
      </c>
      <c r="H92" s="8">
        <v>7715</v>
      </c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>
      <c r="A93" s="2">
        <v>92</v>
      </c>
      <c r="B93" s="2" t="str">
        <f t="shared" si="1"/>
        <v>1021502</v>
      </c>
      <c r="C93" s="3" t="s">
        <v>5</v>
      </c>
      <c r="D93" s="1" t="s">
        <v>19</v>
      </c>
      <c r="E93" s="2">
        <v>102</v>
      </c>
      <c r="F93" s="2">
        <v>1502</v>
      </c>
      <c r="G93" s="5" t="s">
        <v>213</v>
      </c>
      <c r="H93" s="8">
        <v>3384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>
      <c r="A94" s="2">
        <v>93</v>
      </c>
      <c r="B94" s="2" t="str">
        <f t="shared" si="1"/>
        <v>1021402</v>
      </c>
      <c r="C94" s="3" t="s">
        <v>5</v>
      </c>
      <c r="D94" s="1" t="s">
        <v>19</v>
      </c>
      <c r="E94" s="2">
        <v>102</v>
      </c>
      <c r="F94" s="2">
        <v>1402</v>
      </c>
      <c r="G94" s="5" t="s">
        <v>163</v>
      </c>
      <c r="H94" s="8">
        <v>4400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>
      <c r="A95" s="2">
        <v>94</v>
      </c>
      <c r="B95" s="2" t="str">
        <f t="shared" si="1"/>
        <v>1021302</v>
      </c>
      <c r="C95" s="3" t="s">
        <v>5</v>
      </c>
      <c r="D95" s="1" t="s">
        <v>19</v>
      </c>
      <c r="E95" s="2">
        <v>102</v>
      </c>
      <c r="F95" s="2">
        <v>1302</v>
      </c>
      <c r="G95" s="5" t="s">
        <v>214</v>
      </c>
      <c r="H95" s="8">
        <v>6228</v>
      </c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>
      <c r="A96" s="2">
        <v>95</v>
      </c>
      <c r="B96" s="2" t="str">
        <f t="shared" si="1"/>
        <v>1021202</v>
      </c>
      <c r="C96" s="3" t="s">
        <v>5</v>
      </c>
      <c r="D96" s="1" t="s">
        <v>19</v>
      </c>
      <c r="E96" s="2">
        <v>102</v>
      </c>
      <c r="F96" s="2">
        <v>1202</v>
      </c>
      <c r="G96" s="5" t="s">
        <v>215</v>
      </c>
      <c r="H96" s="8">
        <v>9177</v>
      </c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>
      <c r="A97" s="2">
        <v>96</v>
      </c>
      <c r="B97" s="2" t="str">
        <f t="shared" si="1"/>
        <v>1021102</v>
      </c>
      <c r="C97" s="3" t="s">
        <v>5</v>
      </c>
      <c r="D97" s="1" t="s">
        <v>19</v>
      </c>
      <c r="E97" s="2">
        <v>102</v>
      </c>
      <c r="F97" s="2">
        <v>1102</v>
      </c>
      <c r="G97" s="5" t="s">
        <v>216</v>
      </c>
      <c r="H97" s="8">
        <v>4832</v>
      </c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>
      <c r="A98" s="2">
        <v>97</v>
      </c>
      <c r="B98" s="2" t="str">
        <f t="shared" si="1"/>
        <v>1021002</v>
      </c>
      <c r="C98" s="3" t="s">
        <v>5</v>
      </c>
      <c r="D98" s="1" t="s">
        <v>19</v>
      </c>
      <c r="E98" s="2">
        <v>102</v>
      </c>
      <c r="F98" s="2">
        <v>1002</v>
      </c>
      <c r="G98" s="5" t="s">
        <v>217</v>
      </c>
      <c r="H98" s="8">
        <v>5220</v>
      </c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>
      <c r="A99" s="2">
        <v>98</v>
      </c>
      <c r="B99" s="2" t="str">
        <f t="shared" si="1"/>
        <v>102902</v>
      </c>
      <c r="C99" s="3" t="s">
        <v>5</v>
      </c>
      <c r="D99" s="1" t="s">
        <v>19</v>
      </c>
      <c r="E99" s="2">
        <v>102</v>
      </c>
      <c r="F99" s="2">
        <v>902</v>
      </c>
      <c r="G99" s="5" t="s">
        <v>218</v>
      </c>
      <c r="H99" s="8">
        <v>2920</v>
      </c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>
      <c r="A100" s="2">
        <v>99</v>
      </c>
      <c r="B100" s="2" t="str">
        <f t="shared" si="1"/>
        <v>102802</v>
      </c>
      <c r="C100" s="3" t="s">
        <v>5</v>
      </c>
      <c r="D100" s="1" t="s">
        <v>19</v>
      </c>
      <c r="E100" s="2">
        <v>102</v>
      </c>
      <c r="F100" s="2">
        <v>802</v>
      </c>
      <c r="G100" s="5" t="s">
        <v>156</v>
      </c>
      <c r="H100" s="8">
        <v>6926</v>
      </c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>
      <c r="A101" s="2">
        <v>100</v>
      </c>
      <c r="B101" s="2" t="str">
        <f t="shared" si="1"/>
        <v>102702</v>
      </c>
      <c r="C101" s="3" t="s">
        <v>5</v>
      </c>
      <c r="D101" s="1" t="s">
        <v>19</v>
      </c>
      <c r="E101" s="2">
        <v>102</v>
      </c>
      <c r="F101" s="2">
        <v>702</v>
      </c>
      <c r="G101" s="5" t="s">
        <v>219</v>
      </c>
      <c r="H101" s="8">
        <v>4046</v>
      </c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>
      <c r="A102" s="2">
        <v>101</v>
      </c>
      <c r="B102" s="2" t="str">
        <f t="shared" si="1"/>
        <v>1021903</v>
      </c>
      <c r="C102" s="3" t="s">
        <v>5</v>
      </c>
      <c r="D102" s="6" t="s">
        <v>20</v>
      </c>
      <c r="E102" s="2">
        <v>102</v>
      </c>
      <c r="F102" s="2">
        <v>1903</v>
      </c>
      <c r="G102" s="5" t="s">
        <v>220</v>
      </c>
      <c r="H102" s="8">
        <v>2186</v>
      </c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>
      <c r="A103" s="2">
        <v>102</v>
      </c>
      <c r="B103" s="2" t="str">
        <f t="shared" si="1"/>
        <v>1021803</v>
      </c>
      <c r="C103" s="3" t="s">
        <v>5</v>
      </c>
      <c r="D103" s="6" t="s">
        <v>20</v>
      </c>
      <c r="E103" s="2">
        <v>102</v>
      </c>
      <c r="F103" s="2">
        <v>1803</v>
      </c>
      <c r="G103" s="5" t="s">
        <v>221</v>
      </c>
      <c r="H103" s="8">
        <v>9212</v>
      </c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>
      <c r="A104" s="2">
        <v>103</v>
      </c>
      <c r="B104" s="2" t="str">
        <f t="shared" si="1"/>
        <v>1021703</v>
      </c>
      <c r="C104" s="3" t="s">
        <v>5</v>
      </c>
      <c r="D104" s="6" t="s">
        <v>20</v>
      </c>
      <c r="E104" s="2">
        <v>102</v>
      </c>
      <c r="F104" s="2">
        <v>1703</v>
      </c>
      <c r="G104" s="5" t="s">
        <v>222</v>
      </c>
      <c r="H104" s="8">
        <v>5713</v>
      </c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>
      <c r="A105" s="2">
        <v>104</v>
      </c>
      <c r="B105" s="2" t="str">
        <f t="shared" si="1"/>
        <v>1021603</v>
      </c>
      <c r="C105" s="3" t="s">
        <v>5</v>
      </c>
      <c r="D105" s="6" t="s">
        <v>20</v>
      </c>
      <c r="E105" s="2">
        <v>102</v>
      </c>
      <c r="F105" s="2">
        <v>1603</v>
      </c>
      <c r="G105" s="5" t="s">
        <v>188</v>
      </c>
      <c r="H105" s="8">
        <v>1182</v>
      </c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>
      <c r="A106" s="2">
        <v>105</v>
      </c>
      <c r="B106" s="2" t="str">
        <f t="shared" si="1"/>
        <v>1021503</v>
      </c>
      <c r="C106" s="3" t="s">
        <v>5</v>
      </c>
      <c r="D106" s="6" t="s">
        <v>20</v>
      </c>
      <c r="E106" s="2">
        <v>102</v>
      </c>
      <c r="F106" s="2">
        <v>1503</v>
      </c>
      <c r="G106" s="5" t="s">
        <v>223</v>
      </c>
      <c r="H106" s="8">
        <v>1781</v>
      </c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>
      <c r="A107" s="2">
        <v>106</v>
      </c>
      <c r="B107" s="2" t="str">
        <f t="shared" si="1"/>
        <v>1021403</v>
      </c>
      <c r="C107" s="3" t="s">
        <v>5</v>
      </c>
      <c r="D107" s="6" t="s">
        <v>20</v>
      </c>
      <c r="E107" s="2">
        <v>102</v>
      </c>
      <c r="F107" s="2">
        <v>1403</v>
      </c>
      <c r="G107" s="5" t="s">
        <v>224</v>
      </c>
      <c r="H107" s="8">
        <v>6528</v>
      </c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>
      <c r="A108" s="2">
        <v>107</v>
      </c>
      <c r="B108" s="2" t="str">
        <f t="shared" si="1"/>
        <v>1021303</v>
      </c>
      <c r="C108" s="3" t="s">
        <v>5</v>
      </c>
      <c r="D108" s="6" t="s">
        <v>20</v>
      </c>
      <c r="E108" s="2">
        <v>102</v>
      </c>
      <c r="F108" s="2">
        <v>1303</v>
      </c>
      <c r="G108" s="5" t="s">
        <v>225</v>
      </c>
      <c r="H108" s="8">
        <v>4544</v>
      </c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>
      <c r="A109" s="2">
        <v>108</v>
      </c>
      <c r="B109" s="2" t="str">
        <f t="shared" si="1"/>
        <v>1021203</v>
      </c>
      <c r="C109" s="3" t="s">
        <v>5</v>
      </c>
      <c r="D109" s="6" t="s">
        <v>20</v>
      </c>
      <c r="E109" s="2">
        <v>102</v>
      </c>
      <c r="F109" s="2">
        <v>1203</v>
      </c>
      <c r="G109" s="5" t="s">
        <v>226</v>
      </c>
      <c r="H109" s="8">
        <v>7176</v>
      </c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>
      <c r="A110" s="2">
        <v>109</v>
      </c>
      <c r="B110" s="2" t="str">
        <f t="shared" si="1"/>
        <v>1021103</v>
      </c>
      <c r="C110" s="3" t="s">
        <v>5</v>
      </c>
      <c r="D110" s="6" t="s">
        <v>20</v>
      </c>
      <c r="E110" s="2">
        <v>102</v>
      </c>
      <c r="F110" s="2">
        <v>1103</v>
      </c>
      <c r="G110" s="5" t="s">
        <v>227</v>
      </c>
      <c r="H110" s="8">
        <v>7538</v>
      </c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>
      <c r="A111" s="2">
        <v>110</v>
      </c>
      <c r="B111" s="2" t="str">
        <f t="shared" si="1"/>
        <v>1021003</v>
      </c>
      <c r="C111" s="3" t="s">
        <v>5</v>
      </c>
      <c r="D111" s="6" t="s">
        <v>20</v>
      </c>
      <c r="E111" s="2">
        <v>102</v>
      </c>
      <c r="F111" s="2">
        <v>1003</v>
      </c>
      <c r="G111" s="5" t="s">
        <v>228</v>
      </c>
      <c r="H111" s="8">
        <v>6517</v>
      </c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>
      <c r="A112" s="2">
        <v>111</v>
      </c>
      <c r="B112" s="2" t="str">
        <f t="shared" si="1"/>
        <v>102903</v>
      </c>
      <c r="C112" s="3" t="s">
        <v>5</v>
      </c>
      <c r="D112" s="6" t="s">
        <v>20</v>
      </c>
      <c r="E112" s="2">
        <v>102</v>
      </c>
      <c r="F112" s="2">
        <v>903</v>
      </c>
      <c r="G112" s="5" t="s">
        <v>229</v>
      </c>
      <c r="H112" s="8">
        <v>7543</v>
      </c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>
      <c r="A113" s="2">
        <v>112</v>
      </c>
      <c r="B113" s="2" t="str">
        <f t="shared" si="1"/>
        <v>102803</v>
      </c>
      <c r="C113" s="3" t="s">
        <v>5</v>
      </c>
      <c r="D113" s="6" t="s">
        <v>20</v>
      </c>
      <c r="E113" s="2">
        <v>102</v>
      </c>
      <c r="F113" s="2">
        <v>803</v>
      </c>
      <c r="G113" s="5" t="s">
        <v>230</v>
      </c>
      <c r="H113" s="8">
        <v>7323</v>
      </c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>
      <c r="A114" s="2">
        <v>113</v>
      </c>
      <c r="B114" s="2" t="str">
        <f t="shared" si="1"/>
        <v>102703</v>
      </c>
      <c r="C114" s="3" t="s">
        <v>5</v>
      </c>
      <c r="D114" s="6" t="s">
        <v>20</v>
      </c>
      <c r="E114" s="2">
        <v>102</v>
      </c>
      <c r="F114" s="2">
        <v>703</v>
      </c>
      <c r="G114" s="5" t="s">
        <v>231</v>
      </c>
      <c r="H114" s="8">
        <v>7784</v>
      </c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>
      <c r="A115" s="2">
        <v>114</v>
      </c>
      <c r="B115" s="2" t="str">
        <f t="shared" si="1"/>
        <v>1021804</v>
      </c>
      <c r="C115" s="3" t="s">
        <v>5</v>
      </c>
      <c r="D115" s="1" t="s">
        <v>21</v>
      </c>
      <c r="E115" s="2">
        <v>102</v>
      </c>
      <c r="F115" s="2">
        <v>1804</v>
      </c>
      <c r="G115" s="5" t="s">
        <v>232</v>
      </c>
      <c r="H115" s="8">
        <v>7078</v>
      </c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>
      <c r="A116" s="2">
        <v>115</v>
      </c>
      <c r="B116" s="2" t="str">
        <f t="shared" si="1"/>
        <v>1021704</v>
      </c>
      <c r="C116" s="3" t="s">
        <v>5</v>
      </c>
      <c r="D116" s="1" t="s">
        <v>21</v>
      </c>
      <c r="E116" s="2">
        <v>102</v>
      </c>
      <c r="F116" s="2">
        <v>1704</v>
      </c>
      <c r="G116" s="5" t="s">
        <v>233</v>
      </c>
      <c r="H116" s="8">
        <v>9755</v>
      </c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>
      <c r="A117" s="2">
        <v>116</v>
      </c>
      <c r="B117" s="2" t="str">
        <f t="shared" si="1"/>
        <v>1021604</v>
      </c>
      <c r="C117" s="3" t="s">
        <v>5</v>
      </c>
      <c r="D117" s="1" t="s">
        <v>21</v>
      </c>
      <c r="E117" s="2">
        <v>102</v>
      </c>
      <c r="F117" s="2">
        <v>1604</v>
      </c>
      <c r="G117" s="5" t="s">
        <v>234</v>
      </c>
      <c r="H117" s="8">
        <v>2518</v>
      </c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>
      <c r="A118" s="2">
        <v>117</v>
      </c>
      <c r="B118" s="2" t="str">
        <f t="shared" si="1"/>
        <v>1021504</v>
      </c>
      <c r="C118" s="3" t="s">
        <v>5</v>
      </c>
      <c r="D118" s="1" t="s">
        <v>21</v>
      </c>
      <c r="E118" s="2">
        <v>102</v>
      </c>
      <c r="F118" s="2">
        <v>1504</v>
      </c>
      <c r="G118" s="5" t="s">
        <v>235</v>
      </c>
      <c r="H118" s="8">
        <v>3969</v>
      </c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>
      <c r="A119" s="2">
        <v>118</v>
      </c>
      <c r="B119" s="2" t="str">
        <f t="shared" si="1"/>
        <v>1021404</v>
      </c>
      <c r="C119" s="3" t="s">
        <v>5</v>
      </c>
      <c r="D119" s="1" t="s">
        <v>21</v>
      </c>
      <c r="E119" s="2">
        <v>102</v>
      </c>
      <c r="F119" s="2">
        <v>1404</v>
      </c>
      <c r="G119" s="5" t="s">
        <v>236</v>
      </c>
      <c r="H119" s="8">
        <v>1615</v>
      </c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>
      <c r="A120" s="2">
        <v>119</v>
      </c>
      <c r="B120" s="2" t="str">
        <f t="shared" si="1"/>
        <v>1021204</v>
      </c>
      <c r="C120" s="3" t="s">
        <v>5</v>
      </c>
      <c r="D120" s="1" t="s">
        <v>21</v>
      </c>
      <c r="E120" s="2">
        <v>102</v>
      </c>
      <c r="F120" s="2">
        <v>1204</v>
      </c>
      <c r="G120" s="5" t="s">
        <v>237</v>
      </c>
      <c r="H120" s="8">
        <v>7111</v>
      </c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>
      <c r="A121" s="2">
        <v>120</v>
      </c>
      <c r="B121" s="2" t="str">
        <f t="shared" si="1"/>
        <v>1021104</v>
      </c>
      <c r="C121" s="3" t="s">
        <v>5</v>
      </c>
      <c r="D121" s="1" t="s">
        <v>21</v>
      </c>
      <c r="E121" s="2">
        <v>102</v>
      </c>
      <c r="F121" s="2">
        <v>1104</v>
      </c>
      <c r="G121" s="5" t="s">
        <v>238</v>
      </c>
      <c r="H121" s="8">
        <v>7530</v>
      </c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>
      <c r="A122" s="2">
        <v>121</v>
      </c>
      <c r="B122" s="2" t="str">
        <f t="shared" si="1"/>
        <v>1021004</v>
      </c>
      <c r="C122" s="3" t="s">
        <v>5</v>
      </c>
      <c r="D122" s="1" t="s">
        <v>21</v>
      </c>
      <c r="E122" s="2">
        <v>102</v>
      </c>
      <c r="F122" s="2">
        <v>1004</v>
      </c>
      <c r="G122" s="5" t="s">
        <v>239</v>
      </c>
      <c r="H122" s="8">
        <v>8274</v>
      </c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>
      <c r="A123" s="2">
        <v>122</v>
      </c>
      <c r="B123" s="2" t="str">
        <f t="shared" si="1"/>
        <v>102904</v>
      </c>
      <c r="C123" s="3" t="s">
        <v>5</v>
      </c>
      <c r="D123" s="1" t="s">
        <v>21</v>
      </c>
      <c r="E123" s="2">
        <v>102</v>
      </c>
      <c r="F123" s="2">
        <v>904</v>
      </c>
      <c r="G123" s="5" t="s">
        <v>240</v>
      </c>
      <c r="H123" s="8">
        <v>4771</v>
      </c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>
      <c r="A124" s="2">
        <v>123</v>
      </c>
      <c r="B124" s="2" t="str">
        <f t="shared" si="1"/>
        <v>102804</v>
      </c>
      <c r="C124" s="3" t="s">
        <v>5</v>
      </c>
      <c r="D124" s="1" t="s">
        <v>21</v>
      </c>
      <c r="E124" s="2">
        <v>102</v>
      </c>
      <c r="F124" s="2">
        <v>804</v>
      </c>
      <c r="G124" s="5" t="s">
        <v>241</v>
      </c>
      <c r="H124" s="8">
        <v>6102</v>
      </c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>
      <c r="A125" s="2">
        <v>124</v>
      </c>
      <c r="B125" s="2" t="str">
        <f t="shared" si="1"/>
        <v>102704</v>
      </c>
      <c r="C125" s="3" t="s">
        <v>5</v>
      </c>
      <c r="D125" s="1" t="s">
        <v>21</v>
      </c>
      <c r="E125" s="2">
        <v>102</v>
      </c>
      <c r="F125" s="2">
        <v>704</v>
      </c>
      <c r="G125" s="5" t="s">
        <v>242</v>
      </c>
      <c r="H125" s="8">
        <v>4703</v>
      </c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>
      <c r="A126" s="2">
        <v>125</v>
      </c>
      <c r="B126" s="2" t="str">
        <f t="shared" si="1"/>
        <v>1021205</v>
      </c>
      <c r="C126" s="3" t="s">
        <v>5</v>
      </c>
      <c r="D126" s="1" t="s">
        <v>22</v>
      </c>
      <c r="E126" s="2">
        <v>102</v>
      </c>
      <c r="F126" s="2">
        <v>1205</v>
      </c>
      <c r="G126" s="5" t="s">
        <v>243</v>
      </c>
      <c r="H126" s="8">
        <v>6089</v>
      </c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>
      <c r="A127" s="2">
        <v>126</v>
      </c>
      <c r="B127" s="2" t="str">
        <f t="shared" si="1"/>
        <v>1021105</v>
      </c>
      <c r="C127" s="3" t="s">
        <v>5</v>
      </c>
      <c r="D127" s="1" t="s">
        <v>22</v>
      </c>
      <c r="E127" s="2">
        <v>102</v>
      </c>
      <c r="F127" s="2">
        <v>1105</v>
      </c>
      <c r="G127" s="5" t="s">
        <v>244</v>
      </c>
      <c r="H127" s="8">
        <v>2732</v>
      </c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>
      <c r="A128" s="2">
        <v>127</v>
      </c>
      <c r="B128" s="2" t="str">
        <f t="shared" si="1"/>
        <v>1021005</v>
      </c>
      <c r="C128" s="3" t="s">
        <v>5</v>
      </c>
      <c r="D128" s="1" t="s">
        <v>22</v>
      </c>
      <c r="E128" s="2">
        <v>102</v>
      </c>
      <c r="F128" s="2">
        <v>1005</v>
      </c>
      <c r="G128" s="5" t="s">
        <v>245</v>
      </c>
      <c r="H128" s="8">
        <v>6143</v>
      </c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>
      <c r="A129" s="2">
        <v>128</v>
      </c>
      <c r="B129" s="2" t="str">
        <f t="shared" si="1"/>
        <v>102905</v>
      </c>
      <c r="C129" s="3" t="s">
        <v>5</v>
      </c>
      <c r="D129" s="1" t="s">
        <v>22</v>
      </c>
      <c r="E129" s="2">
        <v>102</v>
      </c>
      <c r="F129" s="2">
        <v>905</v>
      </c>
      <c r="G129" s="5" t="s">
        <v>246</v>
      </c>
      <c r="H129" s="8">
        <v>4581</v>
      </c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>
      <c r="A130" s="2">
        <v>129</v>
      </c>
      <c r="B130" s="2" t="str">
        <f t="shared" si="1"/>
        <v>102805</v>
      </c>
      <c r="C130" s="3" t="s">
        <v>5</v>
      </c>
      <c r="D130" s="1" t="s">
        <v>22</v>
      </c>
      <c r="E130" s="2">
        <v>102</v>
      </c>
      <c r="F130" s="2">
        <v>805</v>
      </c>
      <c r="G130" s="5" t="s">
        <v>247</v>
      </c>
      <c r="H130" s="8">
        <v>5091</v>
      </c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>
      <c r="A131" s="2">
        <v>130</v>
      </c>
      <c r="B131" s="2" t="str">
        <f t="shared" ref="B131:B156" si="2">CONCATENATE(E131,F131)</f>
        <v>102705</v>
      </c>
      <c r="C131" s="3" t="s">
        <v>5</v>
      </c>
      <c r="D131" s="1" t="s">
        <v>22</v>
      </c>
      <c r="E131" s="2">
        <v>102</v>
      </c>
      <c r="F131" s="2">
        <v>705</v>
      </c>
      <c r="G131" s="5" t="s">
        <v>248</v>
      </c>
      <c r="H131" s="8">
        <v>7284</v>
      </c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>
      <c r="A132" s="2">
        <v>131</v>
      </c>
      <c r="B132" s="2" t="str">
        <f t="shared" si="2"/>
        <v>102601</v>
      </c>
      <c r="C132" s="3" t="s">
        <v>23</v>
      </c>
      <c r="D132" s="1">
        <v>68</v>
      </c>
      <c r="E132" s="2">
        <v>102</v>
      </c>
      <c r="F132" s="2">
        <v>601</v>
      </c>
      <c r="G132" s="5" t="s">
        <v>249</v>
      </c>
      <c r="H132" s="8">
        <v>5855</v>
      </c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>
      <c r="A133" s="2">
        <v>132</v>
      </c>
      <c r="B133" s="2" t="str">
        <f t="shared" si="2"/>
        <v>102501</v>
      </c>
      <c r="C133" s="3" t="s">
        <v>23</v>
      </c>
      <c r="D133" s="1">
        <v>68</v>
      </c>
      <c r="E133" s="2">
        <v>102</v>
      </c>
      <c r="F133" s="2">
        <v>501</v>
      </c>
      <c r="G133" s="5" t="s">
        <v>250</v>
      </c>
      <c r="H133" s="8">
        <v>8178</v>
      </c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>
      <c r="A134" s="2">
        <v>133</v>
      </c>
      <c r="B134" s="2" t="str">
        <f t="shared" si="2"/>
        <v>102401</v>
      </c>
      <c r="C134" s="3" t="s">
        <v>23</v>
      </c>
      <c r="D134" s="1">
        <v>68</v>
      </c>
      <c r="E134" s="2">
        <v>102</v>
      </c>
      <c r="F134" s="2">
        <v>401</v>
      </c>
      <c r="G134" s="5" t="s">
        <v>251</v>
      </c>
      <c r="H134" s="8">
        <v>2312</v>
      </c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>
      <c r="A135" s="2">
        <v>134</v>
      </c>
      <c r="B135" s="2" t="str">
        <f t="shared" si="2"/>
        <v>102301</v>
      </c>
      <c r="C135" s="3" t="s">
        <v>23</v>
      </c>
      <c r="D135" s="1">
        <v>68</v>
      </c>
      <c r="E135" s="2">
        <v>102</v>
      </c>
      <c r="F135" s="2">
        <v>301</v>
      </c>
      <c r="G135" s="5" t="s">
        <v>252</v>
      </c>
      <c r="H135" s="8">
        <v>8173</v>
      </c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>
      <c r="A136" s="2">
        <v>135</v>
      </c>
      <c r="B136" s="2" t="str">
        <f t="shared" si="2"/>
        <v>102201</v>
      </c>
      <c r="C136" s="3" t="s">
        <v>23</v>
      </c>
      <c r="D136" s="1">
        <v>68</v>
      </c>
      <c r="E136" s="2">
        <v>102</v>
      </c>
      <c r="F136" s="2">
        <v>201</v>
      </c>
      <c r="G136" s="5" t="s">
        <v>253</v>
      </c>
      <c r="H136" s="8">
        <v>7899</v>
      </c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>
      <c r="A137" s="2">
        <v>136</v>
      </c>
      <c r="B137" s="2" t="str">
        <f t="shared" si="2"/>
        <v>102602</v>
      </c>
      <c r="C137" s="3" t="s">
        <v>23</v>
      </c>
      <c r="D137" s="1">
        <v>79</v>
      </c>
      <c r="E137" s="2">
        <v>102</v>
      </c>
      <c r="F137" s="2">
        <v>602</v>
      </c>
      <c r="G137" s="5" t="s">
        <v>254</v>
      </c>
      <c r="H137" s="8">
        <v>5197</v>
      </c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>
      <c r="A138" s="2">
        <v>137</v>
      </c>
      <c r="B138" s="2" t="str">
        <f t="shared" si="2"/>
        <v>102502</v>
      </c>
      <c r="C138" s="3" t="s">
        <v>23</v>
      </c>
      <c r="D138" s="1">
        <v>79</v>
      </c>
      <c r="E138" s="2">
        <v>102</v>
      </c>
      <c r="F138" s="2">
        <v>502</v>
      </c>
      <c r="G138" s="5" t="s">
        <v>129</v>
      </c>
      <c r="H138" s="8">
        <v>2141</v>
      </c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>
      <c r="A139" s="2">
        <v>138</v>
      </c>
      <c r="B139" s="2" t="str">
        <f t="shared" si="2"/>
        <v>102402</v>
      </c>
      <c r="C139" s="3" t="s">
        <v>23</v>
      </c>
      <c r="D139" s="1">
        <v>79</v>
      </c>
      <c r="E139" s="2">
        <v>102</v>
      </c>
      <c r="F139" s="2">
        <v>402</v>
      </c>
      <c r="G139" s="5" t="s">
        <v>255</v>
      </c>
      <c r="H139" s="8">
        <v>9243</v>
      </c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>
      <c r="A140" s="2">
        <v>139</v>
      </c>
      <c r="B140" s="2" t="str">
        <f t="shared" si="2"/>
        <v>102302</v>
      </c>
      <c r="C140" s="3" t="s">
        <v>23</v>
      </c>
      <c r="D140" s="1">
        <v>79</v>
      </c>
      <c r="E140" s="2">
        <v>102</v>
      </c>
      <c r="F140" s="2">
        <v>302</v>
      </c>
      <c r="G140" s="5" t="s">
        <v>256</v>
      </c>
      <c r="H140" s="8">
        <v>5801</v>
      </c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>
      <c r="A141" s="2">
        <v>140</v>
      </c>
      <c r="B141" s="2" t="str">
        <f t="shared" si="2"/>
        <v>102202</v>
      </c>
      <c r="C141" s="3" t="s">
        <v>23</v>
      </c>
      <c r="D141" s="1">
        <v>79</v>
      </c>
      <c r="E141" s="2">
        <v>102</v>
      </c>
      <c r="F141" s="2">
        <v>202</v>
      </c>
      <c r="G141" s="5" t="s">
        <v>257</v>
      </c>
      <c r="H141" s="8">
        <v>6252</v>
      </c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>
      <c r="A142" s="2">
        <v>141</v>
      </c>
      <c r="B142" s="2" t="str">
        <f t="shared" si="2"/>
        <v>102603</v>
      </c>
      <c r="C142" s="3" t="s">
        <v>23</v>
      </c>
      <c r="D142" s="1">
        <v>84</v>
      </c>
      <c r="E142" s="2">
        <v>102</v>
      </c>
      <c r="F142" s="2">
        <v>603</v>
      </c>
      <c r="G142" s="5" t="s">
        <v>258</v>
      </c>
      <c r="H142" s="8">
        <v>8816</v>
      </c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>
      <c r="A143" s="2">
        <v>142</v>
      </c>
      <c r="B143" s="2" t="str">
        <f t="shared" si="2"/>
        <v>102503</v>
      </c>
      <c r="C143" s="3" t="s">
        <v>23</v>
      </c>
      <c r="D143" s="1">
        <v>84</v>
      </c>
      <c r="E143" s="2">
        <v>102</v>
      </c>
      <c r="F143" s="2">
        <v>503</v>
      </c>
      <c r="G143" s="5" t="s">
        <v>222</v>
      </c>
      <c r="H143" s="8">
        <v>9736</v>
      </c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>
      <c r="A144" s="2">
        <v>143</v>
      </c>
      <c r="B144" s="2" t="str">
        <f t="shared" si="2"/>
        <v>102403</v>
      </c>
      <c r="C144" s="3" t="s">
        <v>23</v>
      </c>
      <c r="D144" s="1">
        <v>84</v>
      </c>
      <c r="E144" s="2">
        <v>102</v>
      </c>
      <c r="F144" s="2">
        <v>403</v>
      </c>
      <c r="G144" s="5" t="s">
        <v>259</v>
      </c>
      <c r="H144" s="8">
        <v>3085</v>
      </c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>
      <c r="A145" s="2">
        <v>144</v>
      </c>
      <c r="B145" s="2" t="str">
        <f t="shared" si="2"/>
        <v>102303</v>
      </c>
      <c r="C145" s="3" t="s">
        <v>23</v>
      </c>
      <c r="D145" s="1">
        <v>84</v>
      </c>
      <c r="E145" s="2">
        <v>102</v>
      </c>
      <c r="F145" s="2">
        <v>303</v>
      </c>
      <c r="G145" s="5" t="s">
        <v>260</v>
      </c>
      <c r="H145" s="8">
        <v>5207</v>
      </c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>
      <c r="A146" s="2">
        <v>145</v>
      </c>
      <c r="B146" s="2" t="str">
        <f t="shared" si="2"/>
        <v>102203</v>
      </c>
      <c r="C146" s="3" t="s">
        <v>23</v>
      </c>
      <c r="D146" s="1">
        <v>84</v>
      </c>
      <c r="E146" s="2">
        <v>102</v>
      </c>
      <c r="F146" s="2">
        <v>203</v>
      </c>
      <c r="G146" s="5" t="s">
        <v>254</v>
      </c>
      <c r="H146" s="8">
        <v>8060</v>
      </c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>
      <c r="A147" s="2">
        <v>146</v>
      </c>
      <c r="B147" s="2" t="str">
        <f t="shared" si="2"/>
        <v>102604</v>
      </c>
      <c r="C147" s="3" t="s">
        <v>23</v>
      </c>
      <c r="D147" s="1" t="s">
        <v>24</v>
      </c>
      <c r="E147" s="2">
        <v>102</v>
      </c>
      <c r="F147" s="2">
        <v>604</v>
      </c>
      <c r="G147" s="5" t="s">
        <v>261</v>
      </c>
      <c r="H147" s="8">
        <v>5765</v>
      </c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>
      <c r="A148" s="2">
        <v>147</v>
      </c>
      <c r="B148" s="2" t="str">
        <f t="shared" si="2"/>
        <v>102504</v>
      </c>
      <c r="C148" s="3" t="s">
        <v>23</v>
      </c>
      <c r="D148" s="1" t="s">
        <v>24</v>
      </c>
      <c r="E148" s="2">
        <v>102</v>
      </c>
      <c r="F148" s="2">
        <v>504</v>
      </c>
      <c r="G148" s="5" t="s">
        <v>262</v>
      </c>
      <c r="H148" s="8">
        <v>7706</v>
      </c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>
      <c r="A149" s="2">
        <v>148</v>
      </c>
      <c r="B149" s="2" t="str">
        <f t="shared" si="2"/>
        <v>102404</v>
      </c>
      <c r="C149" s="3" t="s">
        <v>23</v>
      </c>
      <c r="D149" s="1" t="s">
        <v>24</v>
      </c>
      <c r="E149" s="2">
        <v>102</v>
      </c>
      <c r="F149" s="2">
        <v>404</v>
      </c>
      <c r="G149" s="5" t="s">
        <v>263</v>
      </c>
      <c r="H149" s="8">
        <v>3611</v>
      </c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>
      <c r="A150" s="2">
        <v>149</v>
      </c>
      <c r="B150" s="2" t="str">
        <f t="shared" si="2"/>
        <v>102304</v>
      </c>
      <c r="C150" s="3" t="s">
        <v>23</v>
      </c>
      <c r="D150" s="1" t="s">
        <v>24</v>
      </c>
      <c r="E150" s="2">
        <v>102</v>
      </c>
      <c r="F150" s="2">
        <v>304</v>
      </c>
      <c r="G150" s="5" t="s">
        <v>264</v>
      </c>
      <c r="H150" s="8">
        <v>5625</v>
      </c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>
      <c r="A151" s="2">
        <v>150</v>
      </c>
      <c r="B151" s="2" t="str">
        <f t="shared" si="2"/>
        <v>102204</v>
      </c>
      <c r="C151" s="3" t="s">
        <v>23</v>
      </c>
      <c r="D151" s="1" t="s">
        <v>24</v>
      </c>
      <c r="E151" s="2">
        <v>102</v>
      </c>
      <c r="F151" s="2">
        <v>204</v>
      </c>
      <c r="G151" s="5" t="s">
        <v>265</v>
      </c>
      <c r="H151" s="8">
        <v>7208</v>
      </c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>
      <c r="A152" s="2">
        <v>151</v>
      </c>
      <c r="B152" s="2" t="str">
        <f t="shared" si="2"/>
        <v>102605</v>
      </c>
      <c r="C152" s="3" t="s">
        <v>23</v>
      </c>
      <c r="D152" s="1" t="s">
        <v>25</v>
      </c>
      <c r="E152" s="2">
        <v>102</v>
      </c>
      <c r="F152" s="2">
        <v>605</v>
      </c>
      <c r="G152" s="5" t="s">
        <v>266</v>
      </c>
      <c r="H152" s="8">
        <v>8209</v>
      </c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>
      <c r="A153" s="2">
        <v>152</v>
      </c>
      <c r="B153" s="2" t="str">
        <f t="shared" si="2"/>
        <v>102505</v>
      </c>
      <c r="C153" s="3" t="s">
        <v>23</v>
      </c>
      <c r="D153" s="1" t="s">
        <v>25</v>
      </c>
      <c r="E153" s="2">
        <v>102</v>
      </c>
      <c r="F153" s="2">
        <v>505</v>
      </c>
      <c r="G153" s="5" t="s">
        <v>267</v>
      </c>
      <c r="H153" s="8">
        <v>4186</v>
      </c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>
      <c r="A154" s="2">
        <v>153</v>
      </c>
      <c r="B154" s="2" t="str">
        <f t="shared" si="2"/>
        <v>102405</v>
      </c>
      <c r="C154" s="3" t="s">
        <v>23</v>
      </c>
      <c r="D154" s="1" t="s">
        <v>25</v>
      </c>
      <c r="E154" s="2">
        <v>102</v>
      </c>
      <c r="F154" s="2">
        <v>405</v>
      </c>
      <c r="G154" s="5" t="s">
        <v>268</v>
      </c>
      <c r="H154" s="8">
        <v>7223</v>
      </c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>
      <c r="A155" s="2">
        <v>154</v>
      </c>
      <c r="B155" s="2" t="str">
        <f t="shared" si="2"/>
        <v>102305</v>
      </c>
      <c r="C155" s="3" t="s">
        <v>23</v>
      </c>
      <c r="D155" s="1" t="s">
        <v>25</v>
      </c>
      <c r="E155" s="2">
        <v>102</v>
      </c>
      <c r="F155" s="2">
        <v>305</v>
      </c>
      <c r="G155" s="5" t="s">
        <v>269</v>
      </c>
      <c r="H155" s="8">
        <v>6518</v>
      </c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>
      <c r="A156" s="2">
        <v>155</v>
      </c>
      <c r="B156" s="2" t="str">
        <f t="shared" si="2"/>
        <v>102205</v>
      </c>
      <c r="C156" s="3" t="s">
        <v>23</v>
      </c>
      <c r="D156" s="1" t="s">
        <v>25</v>
      </c>
      <c r="E156" s="2">
        <v>102</v>
      </c>
      <c r="F156" s="2">
        <v>205</v>
      </c>
      <c r="G156" s="5" t="s">
        <v>270</v>
      </c>
      <c r="H156" s="8">
        <v>4238</v>
      </c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</sheetData>
  <phoneticPr fontId="4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C9E38-8103-46EA-B7C2-355D2FC813D4}">
  <sheetPr>
    <pageSetUpPr fitToPage="1"/>
  </sheetPr>
  <dimension ref="B2:O302"/>
  <sheetViews>
    <sheetView zoomScale="85" zoomScaleNormal="85" workbookViewId="0">
      <selection activeCell="G12" sqref="G12"/>
    </sheetView>
  </sheetViews>
  <sheetFormatPr baseColWidth="10" defaultColWidth="8.83203125" defaultRowHeight="30" customHeight="1"/>
  <cols>
    <col min="1" max="1" width="1.6640625" customWidth="1"/>
    <col min="2" max="2" width="8.6640625" customWidth="1"/>
    <col min="3" max="3" width="24.33203125" bestFit="1" customWidth="1"/>
    <col min="4" max="4" width="77.6640625" customWidth="1"/>
    <col min="5" max="6" width="16.6640625" style="8" customWidth="1"/>
    <col min="7" max="9" width="24.1640625" customWidth="1"/>
    <col min="10" max="10" width="55.5" bestFit="1" customWidth="1"/>
    <col min="11" max="11" width="13.6640625" style="9" customWidth="1"/>
  </cols>
  <sheetData>
    <row r="2" spans="2:15" ht="30" customHeight="1">
      <c r="B2" s="7" t="s">
        <v>46</v>
      </c>
    </row>
    <row r="3" spans="2:15" ht="30" customHeight="1" thickBot="1">
      <c r="B3" s="10" t="s">
        <v>47</v>
      </c>
      <c r="E3" s="11"/>
      <c r="F3" s="12"/>
      <c r="G3" s="12"/>
      <c r="H3" s="12"/>
      <c r="I3" s="12"/>
      <c r="J3" s="12"/>
    </row>
    <row r="4" spans="2:15" ht="30" customHeight="1" thickBot="1">
      <c r="B4" s="13" t="s">
        <v>48</v>
      </c>
      <c r="C4" s="14" t="s">
        <v>49</v>
      </c>
      <c r="D4" s="14" t="s">
        <v>50</v>
      </c>
      <c r="E4" s="14" t="s">
        <v>51</v>
      </c>
      <c r="F4" s="14" t="s">
        <v>51</v>
      </c>
      <c r="G4" s="15" t="s">
        <v>52</v>
      </c>
      <c r="H4" s="15" t="s">
        <v>53</v>
      </c>
      <c r="I4" s="15" t="s">
        <v>54</v>
      </c>
      <c r="J4" s="16" t="s">
        <v>55</v>
      </c>
    </row>
    <row r="5" spans="2:15" ht="30" customHeight="1" thickTop="1">
      <c r="B5" s="17">
        <v>1</v>
      </c>
      <c r="C5" s="18" t="s">
        <v>56</v>
      </c>
      <c r="D5" s="19" t="s">
        <v>27</v>
      </c>
      <c r="E5" s="20" t="s">
        <v>15</v>
      </c>
      <c r="F5" s="20" t="str">
        <f>+C5&amp;E5</f>
        <v>시트판넬59A</v>
      </c>
      <c r="G5" s="21">
        <v>3400000</v>
      </c>
      <c r="H5" s="22">
        <f>+TRUNC(G5/1.1,0)</f>
        <v>3090909</v>
      </c>
      <c r="I5" s="22">
        <v>309091</v>
      </c>
      <c r="J5" s="23"/>
      <c r="O5" t="str">
        <f>+C5&amp;E5</f>
        <v>시트판넬59A</v>
      </c>
    </row>
    <row r="6" spans="2:15" ht="30" customHeight="1">
      <c r="B6" s="24">
        <v>1</v>
      </c>
      <c r="C6" s="25" t="s">
        <v>56</v>
      </c>
      <c r="D6" s="26" t="s">
        <v>56</v>
      </c>
      <c r="E6" s="27" t="s">
        <v>19</v>
      </c>
      <c r="F6" s="27" t="str">
        <f t="shared" ref="F6:F83" si="0">+C6&amp;E6</f>
        <v>시트판넬59B</v>
      </c>
      <c r="G6" s="28">
        <v>3300000</v>
      </c>
      <c r="H6" s="29">
        <f t="shared" ref="H6:H69" si="1">+TRUNC(G6/1.1,0)</f>
        <v>3000000</v>
      </c>
      <c r="I6" s="29">
        <v>300000</v>
      </c>
      <c r="J6" s="30"/>
    </row>
    <row r="7" spans="2:15" ht="30" customHeight="1">
      <c r="B7" s="24">
        <v>1</v>
      </c>
      <c r="C7" s="25" t="s">
        <v>56</v>
      </c>
      <c r="D7" s="26" t="s">
        <v>56</v>
      </c>
      <c r="E7" s="27" t="s">
        <v>7</v>
      </c>
      <c r="F7" s="27" t="str">
        <f t="shared" si="0"/>
        <v>시트판넬59C</v>
      </c>
      <c r="G7" s="28">
        <v>2800000</v>
      </c>
      <c r="H7" s="29">
        <f t="shared" si="1"/>
        <v>2545454</v>
      </c>
      <c r="I7" s="29">
        <v>254546</v>
      </c>
      <c r="J7" s="30"/>
    </row>
    <row r="8" spans="2:15" ht="30" customHeight="1">
      <c r="B8" s="24">
        <v>1</v>
      </c>
      <c r="C8" s="25" t="s">
        <v>56</v>
      </c>
      <c r="D8" s="26" t="s">
        <v>56</v>
      </c>
      <c r="E8" s="27" t="s">
        <v>9</v>
      </c>
      <c r="F8" s="27" t="str">
        <f t="shared" si="0"/>
        <v>시트판넬59D</v>
      </c>
      <c r="G8" s="28">
        <v>2800000</v>
      </c>
      <c r="H8" s="29">
        <f t="shared" si="1"/>
        <v>2545454</v>
      </c>
      <c r="I8" s="29">
        <v>254546</v>
      </c>
      <c r="J8" s="30"/>
    </row>
    <row r="9" spans="2:15" ht="30" customHeight="1">
      <c r="B9" s="24">
        <v>1</v>
      </c>
      <c r="C9" s="25" t="s">
        <v>56</v>
      </c>
      <c r="D9" s="26" t="s">
        <v>56</v>
      </c>
      <c r="E9" s="27" t="s">
        <v>20</v>
      </c>
      <c r="F9" s="27" t="str">
        <f t="shared" si="0"/>
        <v>시트판넬59E</v>
      </c>
      <c r="G9" s="28">
        <v>2500000</v>
      </c>
      <c r="H9" s="29">
        <f t="shared" si="1"/>
        <v>2272727</v>
      </c>
      <c r="I9" s="29">
        <v>227273</v>
      </c>
      <c r="J9" s="30"/>
    </row>
    <row r="10" spans="2:15" ht="30" customHeight="1">
      <c r="B10" s="24">
        <v>1</v>
      </c>
      <c r="C10" s="25" t="s">
        <v>56</v>
      </c>
      <c r="D10" s="26" t="s">
        <v>56</v>
      </c>
      <c r="E10" s="31" t="s">
        <v>12</v>
      </c>
      <c r="F10" s="31" t="str">
        <f t="shared" si="0"/>
        <v>시트판넬59F</v>
      </c>
      <c r="G10" s="32">
        <v>3000000</v>
      </c>
      <c r="H10" s="33">
        <f t="shared" si="1"/>
        <v>2727272</v>
      </c>
      <c r="I10" s="33">
        <v>272728</v>
      </c>
      <c r="J10" s="34"/>
    </row>
    <row r="11" spans="2:15" ht="30" customHeight="1">
      <c r="B11" s="24">
        <v>1</v>
      </c>
      <c r="C11" s="25" t="s">
        <v>56</v>
      </c>
      <c r="D11" s="26" t="s">
        <v>56</v>
      </c>
      <c r="E11" s="31">
        <v>79</v>
      </c>
      <c r="F11" s="27" t="str">
        <f t="shared" si="0"/>
        <v>시트판넬79</v>
      </c>
      <c r="G11" s="28">
        <v>3300000</v>
      </c>
      <c r="H11" s="29">
        <f t="shared" si="1"/>
        <v>3000000</v>
      </c>
      <c r="I11" s="29">
        <v>300000</v>
      </c>
      <c r="J11" s="30"/>
    </row>
    <row r="12" spans="2:15" ht="30" customHeight="1" thickBot="1">
      <c r="B12" s="24">
        <v>1</v>
      </c>
      <c r="C12" s="25" t="s">
        <v>56</v>
      </c>
      <c r="D12" s="26" t="s">
        <v>56</v>
      </c>
      <c r="E12" s="31">
        <v>84</v>
      </c>
      <c r="F12" s="31" t="str">
        <f t="shared" si="0"/>
        <v>시트판넬84</v>
      </c>
      <c r="G12" s="32">
        <v>2500000</v>
      </c>
      <c r="H12" s="33">
        <f t="shared" si="1"/>
        <v>2272727</v>
      </c>
      <c r="I12" s="33">
        <v>227273</v>
      </c>
      <c r="J12" s="34"/>
    </row>
    <row r="13" spans="2:15" ht="30" customHeight="1">
      <c r="B13" s="35">
        <v>1</v>
      </c>
      <c r="C13" s="36" t="s">
        <v>57</v>
      </c>
      <c r="D13" s="37"/>
      <c r="E13" s="38">
        <v>43</v>
      </c>
      <c r="F13" s="38" t="str">
        <f>+C13&amp;E13</f>
        <v>발코니 확장43</v>
      </c>
      <c r="G13" s="39">
        <v>12000000</v>
      </c>
      <c r="H13" s="40">
        <f t="shared" si="1"/>
        <v>10909090</v>
      </c>
      <c r="I13" s="40">
        <v>1090910</v>
      </c>
      <c r="J13" s="41"/>
      <c r="O13" t="str">
        <f>+C13&amp;E13</f>
        <v>발코니 확장43</v>
      </c>
    </row>
    <row r="14" spans="2:15" ht="30" customHeight="1">
      <c r="B14" s="24">
        <v>1</v>
      </c>
      <c r="C14" s="25" t="s">
        <v>58</v>
      </c>
      <c r="D14" s="26"/>
      <c r="E14" s="27" t="s">
        <v>17</v>
      </c>
      <c r="F14" s="27" t="str">
        <f t="shared" ref="F14:F26" si="2">+C14&amp;E14</f>
        <v>발코니 확장48A</v>
      </c>
      <c r="G14" s="28">
        <v>12000000</v>
      </c>
      <c r="H14" s="29">
        <f t="shared" si="1"/>
        <v>10909090</v>
      </c>
      <c r="I14" s="29">
        <v>1090910</v>
      </c>
      <c r="J14" s="30"/>
    </row>
    <row r="15" spans="2:15" ht="30" customHeight="1">
      <c r="B15" s="24">
        <v>1</v>
      </c>
      <c r="C15" s="25" t="s">
        <v>58</v>
      </c>
      <c r="D15" s="26"/>
      <c r="E15" s="27" t="s">
        <v>8</v>
      </c>
      <c r="F15" s="27" t="str">
        <f t="shared" si="2"/>
        <v>발코니 확장48B</v>
      </c>
      <c r="G15" s="28">
        <v>12000000</v>
      </c>
      <c r="H15" s="29">
        <f t="shared" si="1"/>
        <v>10909090</v>
      </c>
      <c r="I15" s="29">
        <v>1090910</v>
      </c>
      <c r="J15" s="30"/>
    </row>
    <row r="16" spans="2:15" ht="30" customHeight="1">
      <c r="B16" s="24">
        <v>1</v>
      </c>
      <c r="C16" s="25" t="s">
        <v>58</v>
      </c>
      <c r="D16" s="26"/>
      <c r="E16" s="27" t="s">
        <v>10</v>
      </c>
      <c r="F16" s="27" t="str">
        <f t="shared" si="2"/>
        <v>발코니 확장52A</v>
      </c>
      <c r="G16" s="28">
        <v>12000000</v>
      </c>
      <c r="H16" s="29">
        <f t="shared" si="1"/>
        <v>10909090</v>
      </c>
      <c r="I16" s="29">
        <v>1090910</v>
      </c>
      <c r="J16" s="30"/>
    </row>
    <row r="17" spans="2:10" ht="30" customHeight="1">
      <c r="B17" s="24">
        <v>1</v>
      </c>
      <c r="C17" s="25" t="s">
        <v>58</v>
      </c>
      <c r="D17" s="26"/>
      <c r="E17" s="27" t="s">
        <v>21</v>
      </c>
      <c r="F17" s="27" t="str">
        <f t="shared" si="2"/>
        <v>발코니 확장52B</v>
      </c>
      <c r="G17" s="28">
        <v>12000000</v>
      </c>
      <c r="H17" s="29">
        <f t="shared" si="1"/>
        <v>10909090</v>
      </c>
      <c r="I17" s="29">
        <v>1090910</v>
      </c>
      <c r="J17" s="30"/>
    </row>
    <row r="18" spans="2:10" ht="30" customHeight="1">
      <c r="B18" s="24">
        <v>1</v>
      </c>
      <c r="C18" s="25" t="s">
        <v>58</v>
      </c>
      <c r="D18" s="26"/>
      <c r="E18" s="27" t="s">
        <v>22</v>
      </c>
      <c r="F18" s="27" t="str">
        <f t="shared" si="2"/>
        <v>발코니 확장52C</v>
      </c>
      <c r="G18" s="28">
        <v>12000000</v>
      </c>
      <c r="H18" s="29">
        <f t="shared" si="1"/>
        <v>10909090</v>
      </c>
      <c r="I18" s="29">
        <v>1090910</v>
      </c>
      <c r="J18" s="30"/>
    </row>
    <row r="19" spans="2:10" ht="30" customHeight="1">
      <c r="B19" s="24">
        <v>1</v>
      </c>
      <c r="C19" s="25" t="s">
        <v>58</v>
      </c>
      <c r="D19" s="26"/>
      <c r="E19" s="27" t="s">
        <v>13</v>
      </c>
      <c r="F19" s="27" t="str">
        <f t="shared" si="2"/>
        <v>발코니 확장55A</v>
      </c>
      <c r="G19" s="28">
        <v>15000000</v>
      </c>
      <c r="H19" s="29">
        <f t="shared" si="1"/>
        <v>13636363</v>
      </c>
      <c r="I19" s="29">
        <v>1363637</v>
      </c>
      <c r="J19" s="30"/>
    </row>
    <row r="20" spans="2:10" ht="30" customHeight="1">
      <c r="B20" s="24">
        <v>1</v>
      </c>
      <c r="C20" s="25" t="s">
        <v>58</v>
      </c>
      <c r="D20" s="26"/>
      <c r="E20" s="27" t="s">
        <v>18</v>
      </c>
      <c r="F20" s="27" t="str">
        <f t="shared" si="2"/>
        <v>발코니 확장55B</v>
      </c>
      <c r="G20" s="28">
        <v>15000000</v>
      </c>
      <c r="H20" s="29">
        <f t="shared" si="1"/>
        <v>13636363</v>
      </c>
      <c r="I20" s="29">
        <v>1363637</v>
      </c>
      <c r="J20" s="30"/>
    </row>
    <row r="21" spans="2:10" ht="30" customHeight="1">
      <c r="B21" s="24">
        <v>1</v>
      </c>
      <c r="C21" s="25" t="s">
        <v>58</v>
      </c>
      <c r="D21" s="26"/>
      <c r="E21" s="31" t="s">
        <v>15</v>
      </c>
      <c r="F21" s="31" t="str">
        <f t="shared" si="2"/>
        <v>발코니 확장59A</v>
      </c>
      <c r="G21" s="32">
        <v>17000000</v>
      </c>
      <c r="H21" s="33">
        <f t="shared" si="1"/>
        <v>15454545</v>
      </c>
      <c r="I21" s="33">
        <v>1545455</v>
      </c>
      <c r="J21" s="34"/>
    </row>
    <row r="22" spans="2:10" ht="30" customHeight="1">
      <c r="B22" s="24">
        <v>1</v>
      </c>
      <c r="C22" s="25" t="s">
        <v>58</v>
      </c>
      <c r="D22" s="26"/>
      <c r="E22" s="31" t="s">
        <v>19</v>
      </c>
      <c r="F22" s="31" t="str">
        <f t="shared" si="2"/>
        <v>발코니 확장59B</v>
      </c>
      <c r="G22" s="32">
        <v>17000000</v>
      </c>
      <c r="H22" s="33">
        <f t="shared" si="1"/>
        <v>15454545</v>
      </c>
      <c r="I22" s="33">
        <v>1545455</v>
      </c>
      <c r="J22" s="34"/>
    </row>
    <row r="23" spans="2:10" ht="30" customHeight="1">
      <c r="B23" s="24">
        <v>1</v>
      </c>
      <c r="C23" s="25" t="s">
        <v>58</v>
      </c>
      <c r="D23" s="26"/>
      <c r="E23" s="27" t="s">
        <v>7</v>
      </c>
      <c r="F23" s="27" t="str">
        <f t="shared" si="2"/>
        <v>발코니 확장59C</v>
      </c>
      <c r="G23" s="28">
        <v>17000000</v>
      </c>
      <c r="H23" s="29">
        <f t="shared" si="1"/>
        <v>15454545</v>
      </c>
      <c r="I23" s="29">
        <v>1545455</v>
      </c>
      <c r="J23" s="30"/>
    </row>
    <row r="24" spans="2:10" ht="30" customHeight="1">
      <c r="B24" s="24">
        <v>1</v>
      </c>
      <c r="C24" s="25" t="s">
        <v>58</v>
      </c>
      <c r="D24" s="26"/>
      <c r="E24" s="27" t="s">
        <v>9</v>
      </c>
      <c r="F24" s="27" t="str">
        <f t="shared" si="2"/>
        <v>발코니 확장59D</v>
      </c>
      <c r="G24" s="28">
        <v>17000000</v>
      </c>
      <c r="H24" s="29">
        <f t="shared" si="1"/>
        <v>15454545</v>
      </c>
      <c r="I24" s="29">
        <v>1545455</v>
      </c>
      <c r="J24" s="30"/>
    </row>
    <row r="25" spans="2:10" ht="30" customHeight="1">
      <c r="B25" s="24">
        <v>1</v>
      </c>
      <c r="C25" s="25" t="s">
        <v>58</v>
      </c>
      <c r="D25" s="26"/>
      <c r="E25" s="27" t="s">
        <v>20</v>
      </c>
      <c r="F25" s="27" t="str">
        <f t="shared" si="2"/>
        <v>발코니 확장59E</v>
      </c>
      <c r="G25" s="28">
        <v>17000000</v>
      </c>
      <c r="H25" s="29">
        <f t="shared" si="1"/>
        <v>15454545</v>
      </c>
      <c r="I25" s="29">
        <v>1545455</v>
      </c>
      <c r="J25" s="30"/>
    </row>
    <row r="26" spans="2:10" ht="30" customHeight="1" thickBot="1">
      <c r="B26" s="42">
        <v>1</v>
      </c>
      <c r="C26" s="43" t="s">
        <v>58</v>
      </c>
      <c r="D26" s="44"/>
      <c r="E26" s="45" t="s">
        <v>12</v>
      </c>
      <c r="F26" s="45" t="str">
        <f t="shared" si="2"/>
        <v>발코니 확장59F</v>
      </c>
      <c r="G26" s="46">
        <v>17000000</v>
      </c>
      <c r="H26" s="47">
        <f t="shared" si="1"/>
        <v>15454545</v>
      </c>
      <c r="I26" s="47">
        <v>1545455</v>
      </c>
      <c r="J26" s="48"/>
    </row>
    <row r="27" spans="2:10" ht="30" customHeight="1">
      <c r="B27" s="35">
        <v>2</v>
      </c>
      <c r="C27" s="36" t="s">
        <v>28</v>
      </c>
      <c r="D27" s="37" t="s">
        <v>59</v>
      </c>
      <c r="E27" s="49" t="s">
        <v>60</v>
      </c>
      <c r="F27" s="49" t="str">
        <f t="shared" si="0"/>
        <v>거실 마감재 특화43</v>
      </c>
      <c r="G27" s="39">
        <v>3800000</v>
      </c>
      <c r="H27" s="40">
        <f t="shared" si="1"/>
        <v>3454545</v>
      </c>
      <c r="I27" s="40">
        <v>345455</v>
      </c>
      <c r="J27" s="41"/>
    </row>
    <row r="28" spans="2:10" ht="30" customHeight="1">
      <c r="B28" s="24">
        <v>2</v>
      </c>
      <c r="C28" s="25" t="s">
        <v>61</v>
      </c>
      <c r="D28" s="26" t="s">
        <v>62</v>
      </c>
      <c r="E28" s="27" t="s">
        <v>17</v>
      </c>
      <c r="F28" s="27" t="str">
        <f t="shared" si="0"/>
        <v>거실 마감재 특화48A</v>
      </c>
      <c r="G28" s="28">
        <v>3800000</v>
      </c>
      <c r="H28" s="29">
        <f t="shared" si="1"/>
        <v>3454545</v>
      </c>
      <c r="I28" s="29">
        <v>345455</v>
      </c>
      <c r="J28" s="30"/>
    </row>
    <row r="29" spans="2:10" ht="30" customHeight="1">
      <c r="B29" s="24">
        <v>2</v>
      </c>
      <c r="C29" s="25" t="s">
        <v>61</v>
      </c>
      <c r="D29" s="26" t="s">
        <v>62</v>
      </c>
      <c r="E29" s="27" t="s">
        <v>8</v>
      </c>
      <c r="F29" s="27" t="str">
        <f t="shared" si="0"/>
        <v>거실 마감재 특화48B</v>
      </c>
      <c r="G29" s="28">
        <v>3800000</v>
      </c>
      <c r="H29" s="29">
        <f t="shared" si="1"/>
        <v>3454545</v>
      </c>
      <c r="I29" s="29">
        <v>345455</v>
      </c>
      <c r="J29" s="30"/>
    </row>
    <row r="30" spans="2:10" ht="30" customHeight="1">
      <c r="B30" s="24">
        <v>2</v>
      </c>
      <c r="C30" s="25" t="s">
        <v>61</v>
      </c>
      <c r="D30" s="26" t="s">
        <v>62</v>
      </c>
      <c r="E30" s="27" t="s">
        <v>10</v>
      </c>
      <c r="F30" s="27" t="str">
        <f t="shared" si="0"/>
        <v>거실 마감재 특화52A</v>
      </c>
      <c r="G30" s="28">
        <v>4000000</v>
      </c>
      <c r="H30" s="29">
        <f t="shared" si="1"/>
        <v>3636363</v>
      </c>
      <c r="I30" s="29">
        <v>363637</v>
      </c>
      <c r="J30" s="30"/>
    </row>
    <row r="31" spans="2:10" ht="30" customHeight="1">
      <c r="B31" s="24">
        <v>2</v>
      </c>
      <c r="C31" s="25" t="s">
        <v>61</v>
      </c>
      <c r="D31" s="26" t="s">
        <v>62</v>
      </c>
      <c r="E31" s="27" t="s">
        <v>21</v>
      </c>
      <c r="F31" s="27" t="str">
        <f t="shared" si="0"/>
        <v>거실 마감재 특화52B</v>
      </c>
      <c r="G31" s="28">
        <v>4000000</v>
      </c>
      <c r="H31" s="29">
        <f t="shared" si="1"/>
        <v>3636363</v>
      </c>
      <c r="I31" s="29">
        <v>363637</v>
      </c>
      <c r="J31" s="30"/>
    </row>
    <row r="32" spans="2:10" ht="30" customHeight="1">
      <c r="B32" s="24">
        <v>2</v>
      </c>
      <c r="C32" s="25" t="s">
        <v>61</v>
      </c>
      <c r="D32" s="26" t="s">
        <v>62</v>
      </c>
      <c r="E32" s="27" t="s">
        <v>22</v>
      </c>
      <c r="F32" s="27" t="str">
        <f t="shared" si="0"/>
        <v>거실 마감재 특화52C</v>
      </c>
      <c r="G32" s="28">
        <v>4100000</v>
      </c>
      <c r="H32" s="29">
        <f t="shared" si="1"/>
        <v>3727272</v>
      </c>
      <c r="I32" s="29">
        <v>372728</v>
      </c>
      <c r="J32" s="30"/>
    </row>
    <row r="33" spans="2:10" ht="30" customHeight="1">
      <c r="B33" s="24">
        <v>2</v>
      </c>
      <c r="C33" s="25" t="s">
        <v>61</v>
      </c>
      <c r="D33" s="26" t="s">
        <v>62</v>
      </c>
      <c r="E33" s="27" t="s">
        <v>13</v>
      </c>
      <c r="F33" s="27" t="str">
        <f t="shared" si="0"/>
        <v>거실 마감재 특화55A</v>
      </c>
      <c r="G33" s="28">
        <v>4500000</v>
      </c>
      <c r="H33" s="29">
        <f t="shared" si="1"/>
        <v>4090909</v>
      </c>
      <c r="I33" s="29">
        <v>409091</v>
      </c>
      <c r="J33" s="30"/>
    </row>
    <row r="34" spans="2:10" ht="30" customHeight="1">
      <c r="B34" s="24">
        <v>2</v>
      </c>
      <c r="C34" s="25" t="s">
        <v>61</v>
      </c>
      <c r="D34" s="26" t="s">
        <v>62</v>
      </c>
      <c r="E34" s="27" t="s">
        <v>18</v>
      </c>
      <c r="F34" s="27" t="str">
        <f t="shared" si="0"/>
        <v>거실 마감재 특화55B</v>
      </c>
      <c r="G34" s="28">
        <v>4000000</v>
      </c>
      <c r="H34" s="29">
        <f t="shared" si="1"/>
        <v>3636363</v>
      </c>
      <c r="I34" s="29">
        <v>363637</v>
      </c>
      <c r="J34" s="30"/>
    </row>
    <row r="35" spans="2:10" ht="30" customHeight="1">
      <c r="B35" s="24">
        <v>2</v>
      </c>
      <c r="C35" s="25" t="s">
        <v>61</v>
      </c>
      <c r="D35" s="26" t="s">
        <v>62</v>
      </c>
      <c r="E35" s="27" t="s">
        <v>15</v>
      </c>
      <c r="F35" s="27" t="str">
        <f t="shared" si="0"/>
        <v>거실 마감재 특화59A</v>
      </c>
      <c r="G35" s="28">
        <v>4200000</v>
      </c>
      <c r="H35" s="29">
        <f t="shared" si="1"/>
        <v>3818181</v>
      </c>
      <c r="I35" s="29">
        <v>381819</v>
      </c>
      <c r="J35" s="30"/>
    </row>
    <row r="36" spans="2:10" ht="30" customHeight="1">
      <c r="B36" s="24">
        <v>2</v>
      </c>
      <c r="C36" s="25" t="s">
        <v>61</v>
      </c>
      <c r="D36" s="26" t="s">
        <v>62</v>
      </c>
      <c r="E36" s="27" t="s">
        <v>19</v>
      </c>
      <c r="F36" s="27" t="str">
        <f t="shared" si="0"/>
        <v>거실 마감재 특화59B</v>
      </c>
      <c r="G36" s="28">
        <v>4100000</v>
      </c>
      <c r="H36" s="29">
        <f t="shared" si="1"/>
        <v>3727272</v>
      </c>
      <c r="I36" s="29">
        <v>372728</v>
      </c>
      <c r="J36" s="30"/>
    </row>
    <row r="37" spans="2:10" ht="30" customHeight="1">
      <c r="B37" s="24">
        <v>2</v>
      </c>
      <c r="C37" s="25" t="s">
        <v>61</v>
      </c>
      <c r="D37" s="26" t="s">
        <v>62</v>
      </c>
      <c r="E37" s="27" t="s">
        <v>7</v>
      </c>
      <c r="F37" s="27" t="str">
        <f t="shared" si="0"/>
        <v>거실 마감재 특화59C</v>
      </c>
      <c r="G37" s="28">
        <v>4100000</v>
      </c>
      <c r="H37" s="29">
        <f t="shared" si="1"/>
        <v>3727272</v>
      </c>
      <c r="I37" s="29">
        <v>372728</v>
      </c>
      <c r="J37" s="30"/>
    </row>
    <row r="38" spans="2:10" ht="30" customHeight="1">
      <c r="B38" s="24">
        <v>2</v>
      </c>
      <c r="C38" s="25" t="s">
        <v>61</v>
      </c>
      <c r="D38" s="26" t="s">
        <v>62</v>
      </c>
      <c r="E38" s="27" t="s">
        <v>9</v>
      </c>
      <c r="F38" s="27" t="str">
        <f t="shared" si="0"/>
        <v>거실 마감재 특화59D</v>
      </c>
      <c r="G38" s="28">
        <v>4100000</v>
      </c>
      <c r="H38" s="29">
        <f t="shared" si="1"/>
        <v>3727272</v>
      </c>
      <c r="I38" s="29">
        <v>372728</v>
      </c>
      <c r="J38" s="30"/>
    </row>
    <row r="39" spans="2:10" ht="30" customHeight="1">
      <c r="B39" s="24">
        <v>2</v>
      </c>
      <c r="C39" s="25" t="s">
        <v>61</v>
      </c>
      <c r="D39" s="26" t="s">
        <v>62</v>
      </c>
      <c r="E39" s="27" t="s">
        <v>20</v>
      </c>
      <c r="F39" s="27" t="str">
        <f t="shared" si="0"/>
        <v>거실 마감재 특화59E</v>
      </c>
      <c r="G39" s="28">
        <v>4600000</v>
      </c>
      <c r="H39" s="29">
        <f t="shared" si="1"/>
        <v>4181818</v>
      </c>
      <c r="I39" s="29">
        <v>418182</v>
      </c>
      <c r="J39" s="30"/>
    </row>
    <row r="40" spans="2:10" ht="30" customHeight="1">
      <c r="B40" s="24">
        <v>2</v>
      </c>
      <c r="C40" s="25" t="s">
        <v>61</v>
      </c>
      <c r="D40" s="26" t="s">
        <v>62</v>
      </c>
      <c r="E40" s="27" t="s">
        <v>12</v>
      </c>
      <c r="F40" s="27" t="str">
        <f t="shared" si="0"/>
        <v>거실 마감재 특화59F</v>
      </c>
      <c r="G40" s="28">
        <v>4500000</v>
      </c>
      <c r="H40" s="29">
        <f t="shared" si="1"/>
        <v>4090909</v>
      </c>
      <c r="I40" s="29">
        <v>409091</v>
      </c>
      <c r="J40" s="30"/>
    </row>
    <row r="41" spans="2:10" ht="30" customHeight="1">
      <c r="B41" s="24">
        <v>2</v>
      </c>
      <c r="C41" s="25" t="s">
        <v>61</v>
      </c>
      <c r="D41" s="26" t="s">
        <v>62</v>
      </c>
      <c r="E41" s="27" t="s">
        <v>63</v>
      </c>
      <c r="F41" s="27" t="str">
        <f t="shared" si="0"/>
        <v>거실 마감재 특화65A</v>
      </c>
      <c r="G41" s="28">
        <v>4000000</v>
      </c>
      <c r="H41" s="29">
        <f t="shared" si="1"/>
        <v>3636363</v>
      </c>
      <c r="I41" s="29">
        <v>363637</v>
      </c>
      <c r="J41" s="30"/>
    </row>
    <row r="42" spans="2:10" ht="30" customHeight="1">
      <c r="B42" s="24">
        <v>2</v>
      </c>
      <c r="C42" s="25" t="s">
        <v>61</v>
      </c>
      <c r="D42" s="26" t="s">
        <v>62</v>
      </c>
      <c r="E42" s="27" t="s">
        <v>64</v>
      </c>
      <c r="F42" s="27" t="str">
        <f t="shared" si="0"/>
        <v>거실 마감재 특화65B</v>
      </c>
      <c r="G42" s="28">
        <v>4100000</v>
      </c>
      <c r="H42" s="29">
        <f t="shared" si="1"/>
        <v>3727272</v>
      </c>
      <c r="I42" s="29">
        <v>372728</v>
      </c>
      <c r="J42" s="30"/>
    </row>
    <row r="43" spans="2:10" ht="30" customHeight="1">
      <c r="B43" s="24">
        <v>2</v>
      </c>
      <c r="C43" s="25" t="s">
        <v>61</v>
      </c>
      <c r="D43" s="26" t="s">
        <v>62</v>
      </c>
      <c r="E43" s="27">
        <v>68</v>
      </c>
      <c r="F43" s="27" t="str">
        <f t="shared" si="0"/>
        <v>거실 마감재 특화68</v>
      </c>
      <c r="G43" s="28">
        <v>4000000</v>
      </c>
      <c r="H43" s="29">
        <f t="shared" si="1"/>
        <v>3636363</v>
      </c>
      <c r="I43" s="29">
        <v>363637</v>
      </c>
      <c r="J43" s="30"/>
    </row>
    <row r="44" spans="2:10" ht="30" customHeight="1">
      <c r="B44" s="24">
        <v>2</v>
      </c>
      <c r="C44" s="25" t="s">
        <v>61</v>
      </c>
      <c r="D44" s="26" t="s">
        <v>62</v>
      </c>
      <c r="E44" s="27">
        <v>79</v>
      </c>
      <c r="F44" s="27" t="str">
        <f t="shared" si="0"/>
        <v>거실 마감재 특화79</v>
      </c>
      <c r="G44" s="28">
        <v>4100000</v>
      </c>
      <c r="H44" s="29">
        <f t="shared" si="1"/>
        <v>3727272</v>
      </c>
      <c r="I44" s="29">
        <v>372728</v>
      </c>
      <c r="J44" s="30"/>
    </row>
    <row r="45" spans="2:10" ht="30" customHeight="1" thickBot="1">
      <c r="B45" s="42">
        <v>2</v>
      </c>
      <c r="C45" s="43" t="s">
        <v>61</v>
      </c>
      <c r="D45" s="44" t="s">
        <v>62</v>
      </c>
      <c r="E45" s="27">
        <v>84</v>
      </c>
      <c r="F45" s="27" t="str">
        <f t="shared" si="0"/>
        <v>거실 마감재 특화84</v>
      </c>
      <c r="G45" s="46">
        <v>4600000</v>
      </c>
      <c r="H45" s="33">
        <f t="shared" si="1"/>
        <v>4181818</v>
      </c>
      <c r="I45" s="33">
        <v>418182</v>
      </c>
      <c r="J45" s="30"/>
    </row>
    <row r="46" spans="2:10" ht="30" customHeight="1">
      <c r="B46" s="35">
        <v>3</v>
      </c>
      <c r="C46" s="36" t="s">
        <v>29</v>
      </c>
      <c r="D46" s="37" t="s">
        <v>65</v>
      </c>
      <c r="E46" s="49" t="s">
        <v>60</v>
      </c>
      <c r="F46" s="49" t="str">
        <f t="shared" si="0"/>
        <v>욕실 마감재 특화43</v>
      </c>
      <c r="G46" s="39">
        <v>500000</v>
      </c>
      <c r="H46" s="40">
        <f t="shared" si="1"/>
        <v>454545</v>
      </c>
      <c r="I46" s="40">
        <v>45455</v>
      </c>
      <c r="J46" s="41"/>
    </row>
    <row r="47" spans="2:10" ht="30" customHeight="1">
      <c r="B47" s="24">
        <v>3</v>
      </c>
      <c r="C47" s="25" t="s">
        <v>66</v>
      </c>
      <c r="D47" s="26" t="s">
        <v>67</v>
      </c>
      <c r="E47" s="27" t="s">
        <v>68</v>
      </c>
      <c r="F47" s="27" t="str">
        <f t="shared" si="0"/>
        <v>욕실 마감재 특화48A</v>
      </c>
      <c r="G47" s="28">
        <v>500000</v>
      </c>
      <c r="H47" s="29">
        <f t="shared" si="1"/>
        <v>454545</v>
      </c>
      <c r="I47" s="29">
        <v>45455</v>
      </c>
      <c r="J47" s="30"/>
    </row>
    <row r="48" spans="2:10" ht="30" customHeight="1">
      <c r="B48" s="24">
        <v>3</v>
      </c>
      <c r="C48" s="25" t="s">
        <v>66</v>
      </c>
      <c r="D48" s="26" t="s">
        <v>67</v>
      </c>
      <c r="E48" s="27" t="s">
        <v>69</v>
      </c>
      <c r="F48" s="27" t="str">
        <f t="shared" si="0"/>
        <v>욕실 마감재 특화48B</v>
      </c>
      <c r="G48" s="28">
        <v>500000</v>
      </c>
      <c r="H48" s="29">
        <f t="shared" si="1"/>
        <v>454545</v>
      </c>
      <c r="I48" s="29">
        <v>45455</v>
      </c>
      <c r="J48" s="30"/>
    </row>
    <row r="49" spans="2:10" ht="30" customHeight="1">
      <c r="B49" s="24">
        <v>3</v>
      </c>
      <c r="C49" s="25" t="s">
        <v>66</v>
      </c>
      <c r="D49" s="26" t="s">
        <v>67</v>
      </c>
      <c r="E49" s="27" t="s">
        <v>11</v>
      </c>
      <c r="F49" s="27" t="str">
        <f t="shared" si="0"/>
        <v>욕실 마감재 특화52A</v>
      </c>
      <c r="G49" s="28">
        <v>500000</v>
      </c>
      <c r="H49" s="29">
        <f t="shared" si="1"/>
        <v>454545</v>
      </c>
      <c r="I49" s="29">
        <v>45455</v>
      </c>
      <c r="J49" s="30"/>
    </row>
    <row r="50" spans="2:10" ht="30" customHeight="1">
      <c r="B50" s="24">
        <v>3</v>
      </c>
      <c r="C50" s="25" t="s">
        <v>66</v>
      </c>
      <c r="D50" s="26" t="s">
        <v>67</v>
      </c>
      <c r="E50" s="50" t="s">
        <v>70</v>
      </c>
      <c r="F50" s="50" t="str">
        <f t="shared" si="0"/>
        <v>욕실 마감재 특화52B</v>
      </c>
      <c r="G50" s="28">
        <v>500000</v>
      </c>
      <c r="H50" s="29">
        <f t="shared" si="1"/>
        <v>454545</v>
      </c>
      <c r="I50" s="29">
        <v>45455</v>
      </c>
      <c r="J50" s="30"/>
    </row>
    <row r="51" spans="2:10" ht="30" customHeight="1">
      <c r="B51" s="24">
        <v>3</v>
      </c>
      <c r="C51" s="25" t="s">
        <v>66</v>
      </c>
      <c r="D51" s="26" t="s">
        <v>67</v>
      </c>
      <c r="E51" s="27" t="s">
        <v>71</v>
      </c>
      <c r="F51" s="27" t="str">
        <f t="shared" si="0"/>
        <v>욕실 마감재 특화52C</v>
      </c>
      <c r="G51" s="28">
        <v>500000</v>
      </c>
      <c r="H51" s="29">
        <f t="shared" si="1"/>
        <v>454545</v>
      </c>
      <c r="I51" s="29">
        <v>45455</v>
      </c>
      <c r="J51" s="30"/>
    </row>
    <row r="52" spans="2:10" ht="30" customHeight="1">
      <c r="B52" s="24">
        <v>3</v>
      </c>
      <c r="C52" s="25" t="s">
        <v>66</v>
      </c>
      <c r="D52" s="26" t="s">
        <v>67</v>
      </c>
      <c r="E52" s="27" t="s">
        <v>14</v>
      </c>
      <c r="F52" s="27" t="str">
        <f t="shared" si="0"/>
        <v>욕실 마감재 특화55A</v>
      </c>
      <c r="G52" s="28">
        <v>500000</v>
      </c>
      <c r="H52" s="29">
        <f t="shared" si="1"/>
        <v>454545</v>
      </c>
      <c r="I52" s="29">
        <v>45455</v>
      </c>
      <c r="J52" s="30"/>
    </row>
    <row r="53" spans="2:10" ht="30" customHeight="1">
      <c r="B53" s="24">
        <v>3</v>
      </c>
      <c r="C53" s="25" t="s">
        <v>66</v>
      </c>
      <c r="D53" s="26" t="s">
        <v>67</v>
      </c>
      <c r="E53" s="27" t="s">
        <v>72</v>
      </c>
      <c r="F53" s="27" t="str">
        <f t="shared" si="0"/>
        <v>욕실 마감재 특화55B</v>
      </c>
      <c r="G53" s="28">
        <v>500000</v>
      </c>
      <c r="H53" s="29">
        <f t="shared" si="1"/>
        <v>454545</v>
      </c>
      <c r="I53" s="29">
        <v>45455</v>
      </c>
      <c r="J53" s="30"/>
    </row>
    <row r="54" spans="2:10" ht="30" customHeight="1">
      <c r="B54" s="24">
        <v>3</v>
      </c>
      <c r="C54" s="25" t="s">
        <v>66</v>
      </c>
      <c r="D54" s="26" t="s">
        <v>67</v>
      </c>
      <c r="E54" s="27" t="s">
        <v>16</v>
      </c>
      <c r="F54" s="27" t="str">
        <f t="shared" si="0"/>
        <v>욕실 마감재 특화59A</v>
      </c>
      <c r="G54" s="28">
        <v>800000</v>
      </c>
      <c r="H54" s="29">
        <f t="shared" si="1"/>
        <v>727272</v>
      </c>
      <c r="I54" s="29">
        <v>72728</v>
      </c>
      <c r="J54" s="30"/>
    </row>
    <row r="55" spans="2:10" ht="30" customHeight="1">
      <c r="B55" s="24">
        <v>3</v>
      </c>
      <c r="C55" s="25" t="s">
        <v>66</v>
      </c>
      <c r="D55" s="26" t="s">
        <v>67</v>
      </c>
      <c r="E55" s="27" t="s">
        <v>73</v>
      </c>
      <c r="F55" s="27" t="str">
        <f t="shared" si="0"/>
        <v>욕실 마감재 특화59B</v>
      </c>
      <c r="G55" s="28">
        <v>800000</v>
      </c>
      <c r="H55" s="29">
        <f t="shared" si="1"/>
        <v>727272</v>
      </c>
      <c r="I55" s="29">
        <v>72728</v>
      </c>
      <c r="J55" s="30"/>
    </row>
    <row r="56" spans="2:10" ht="30" customHeight="1">
      <c r="B56" s="24">
        <v>3</v>
      </c>
      <c r="C56" s="25" t="s">
        <v>66</v>
      </c>
      <c r="D56" s="26" t="s">
        <v>67</v>
      </c>
      <c r="E56" s="27" t="s">
        <v>6</v>
      </c>
      <c r="F56" s="27" t="str">
        <f t="shared" si="0"/>
        <v>욕실 마감재 특화59C</v>
      </c>
      <c r="G56" s="28">
        <v>700000</v>
      </c>
      <c r="H56" s="29">
        <f t="shared" si="1"/>
        <v>636363</v>
      </c>
      <c r="I56" s="29">
        <v>63637</v>
      </c>
      <c r="J56" s="30"/>
    </row>
    <row r="57" spans="2:10" ht="30" customHeight="1">
      <c r="B57" s="24">
        <v>3</v>
      </c>
      <c r="C57" s="25" t="s">
        <v>66</v>
      </c>
      <c r="D57" s="26" t="s">
        <v>67</v>
      </c>
      <c r="E57" s="27" t="s">
        <v>74</v>
      </c>
      <c r="F57" s="27" t="str">
        <f t="shared" si="0"/>
        <v>욕실 마감재 특화59D</v>
      </c>
      <c r="G57" s="28">
        <v>700000</v>
      </c>
      <c r="H57" s="29">
        <f t="shared" si="1"/>
        <v>636363</v>
      </c>
      <c r="I57" s="29">
        <v>63637</v>
      </c>
      <c r="J57" s="30"/>
    </row>
    <row r="58" spans="2:10" ht="30" customHeight="1">
      <c r="B58" s="24">
        <v>3</v>
      </c>
      <c r="C58" s="25" t="s">
        <v>66</v>
      </c>
      <c r="D58" s="26" t="s">
        <v>67</v>
      </c>
      <c r="E58" s="27" t="s">
        <v>75</v>
      </c>
      <c r="F58" s="27" t="str">
        <f t="shared" si="0"/>
        <v>욕실 마감재 특화59E</v>
      </c>
      <c r="G58" s="28">
        <v>700000</v>
      </c>
      <c r="H58" s="29">
        <f t="shared" si="1"/>
        <v>636363</v>
      </c>
      <c r="I58" s="29">
        <v>63637</v>
      </c>
      <c r="J58" s="30"/>
    </row>
    <row r="59" spans="2:10" ht="30" customHeight="1">
      <c r="B59" s="24">
        <v>3</v>
      </c>
      <c r="C59" s="25" t="s">
        <v>66</v>
      </c>
      <c r="D59" s="26" t="s">
        <v>67</v>
      </c>
      <c r="E59" s="27" t="s">
        <v>76</v>
      </c>
      <c r="F59" s="27" t="str">
        <f t="shared" si="0"/>
        <v>욕실 마감재 특화59F</v>
      </c>
      <c r="G59" s="28">
        <v>700000</v>
      </c>
      <c r="H59" s="29">
        <f t="shared" si="1"/>
        <v>636363</v>
      </c>
      <c r="I59" s="29">
        <v>63637</v>
      </c>
      <c r="J59" s="30"/>
    </row>
    <row r="60" spans="2:10" ht="30" customHeight="1">
      <c r="B60" s="24">
        <v>3</v>
      </c>
      <c r="C60" s="25" t="s">
        <v>66</v>
      </c>
      <c r="D60" s="26" t="s">
        <v>67</v>
      </c>
      <c r="E60" s="27" t="s">
        <v>63</v>
      </c>
      <c r="F60" s="27" t="str">
        <f t="shared" si="0"/>
        <v>욕실 마감재 특화65A</v>
      </c>
      <c r="G60" s="28">
        <v>500000</v>
      </c>
      <c r="H60" s="29">
        <f t="shared" si="1"/>
        <v>454545</v>
      </c>
      <c r="I60" s="29">
        <v>45455</v>
      </c>
      <c r="J60" s="30"/>
    </row>
    <row r="61" spans="2:10" ht="30" customHeight="1">
      <c r="B61" s="24">
        <v>3</v>
      </c>
      <c r="C61" s="25" t="s">
        <v>66</v>
      </c>
      <c r="D61" s="26" t="s">
        <v>67</v>
      </c>
      <c r="E61" s="27" t="s">
        <v>64</v>
      </c>
      <c r="F61" s="27" t="str">
        <f t="shared" si="0"/>
        <v>욕실 마감재 특화65B</v>
      </c>
      <c r="G61" s="28">
        <v>500000</v>
      </c>
      <c r="H61" s="29">
        <f t="shared" si="1"/>
        <v>454545</v>
      </c>
      <c r="I61" s="29">
        <v>45455</v>
      </c>
      <c r="J61" s="30"/>
    </row>
    <row r="62" spans="2:10" ht="30" customHeight="1">
      <c r="B62" s="24">
        <v>3</v>
      </c>
      <c r="C62" s="25" t="s">
        <v>66</v>
      </c>
      <c r="D62" s="26" t="s">
        <v>67</v>
      </c>
      <c r="E62" s="27">
        <v>68</v>
      </c>
      <c r="F62" s="27" t="str">
        <f t="shared" si="0"/>
        <v>욕실 마감재 특화68</v>
      </c>
      <c r="G62" s="28">
        <v>500000</v>
      </c>
      <c r="H62" s="29">
        <f t="shared" si="1"/>
        <v>454545</v>
      </c>
      <c r="I62" s="29">
        <v>45455</v>
      </c>
      <c r="J62" s="30"/>
    </row>
    <row r="63" spans="2:10" ht="30" customHeight="1">
      <c r="B63" s="24">
        <v>3</v>
      </c>
      <c r="C63" s="25" t="s">
        <v>66</v>
      </c>
      <c r="D63" s="26" t="s">
        <v>67</v>
      </c>
      <c r="E63" s="27">
        <v>79</v>
      </c>
      <c r="F63" s="27" t="str">
        <f t="shared" si="0"/>
        <v>욕실 마감재 특화79</v>
      </c>
      <c r="G63" s="28">
        <v>800000</v>
      </c>
      <c r="H63" s="29">
        <f t="shared" si="1"/>
        <v>727272</v>
      </c>
      <c r="I63" s="29">
        <v>72728</v>
      </c>
      <c r="J63" s="30"/>
    </row>
    <row r="64" spans="2:10" ht="30" customHeight="1" thickBot="1">
      <c r="B64" s="42">
        <v>3</v>
      </c>
      <c r="C64" s="43" t="s">
        <v>66</v>
      </c>
      <c r="D64" s="44" t="s">
        <v>67</v>
      </c>
      <c r="E64" s="27">
        <v>84</v>
      </c>
      <c r="F64" s="27" t="str">
        <f t="shared" si="0"/>
        <v>욕실 마감재 특화84</v>
      </c>
      <c r="G64" s="46">
        <v>700000</v>
      </c>
      <c r="H64" s="33">
        <f t="shared" si="1"/>
        <v>636363</v>
      </c>
      <c r="I64" s="33">
        <v>63637</v>
      </c>
      <c r="J64" s="30"/>
    </row>
    <row r="65" spans="2:11" ht="30" customHeight="1">
      <c r="B65" s="35">
        <v>4</v>
      </c>
      <c r="C65" s="36" t="s">
        <v>30</v>
      </c>
      <c r="D65" s="37" t="s">
        <v>77</v>
      </c>
      <c r="E65" s="49" t="s">
        <v>78</v>
      </c>
      <c r="F65" s="49" t="str">
        <f t="shared" si="0"/>
        <v>주방 마감 및 가구 특화43</v>
      </c>
      <c r="G65" s="51">
        <v>1500000</v>
      </c>
      <c r="H65" s="52">
        <f t="shared" si="1"/>
        <v>1363636</v>
      </c>
      <c r="I65" s="52">
        <v>136364</v>
      </c>
      <c r="J65" s="41"/>
      <c r="K65" s="53"/>
    </row>
    <row r="66" spans="2:11" ht="30" customHeight="1">
      <c r="B66" s="24">
        <v>4</v>
      </c>
      <c r="C66" s="25" t="s">
        <v>79</v>
      </c>
      <c r="D66" s="26" t="s">
        <v>80</v>
      </c>
      <c r="E66" s="27" t="s">
        <v>68</v>
      </c>
      <c r="F66" s="27" t="str">
        <f t="shared" si="0"/>
        <v>주방 마감 및 가구 특화48A</v>
      </c>
      <c r="G66" s="54">
        <v>2700000</v>
      </c>
      <c r="H66" s="55">
        <f t="shared" si="1"/>
        <v>2454545</v>
      </c>
      <c r="I66" s="55">
        <v>245455</v>
      </c>
      <c r="J66" s="30"/>
    </row>
    <row r="67" spans="2:11" ht="30" customHeight="1">
      <c r="B67" s="24">
        <v>4</v>
      </c>
      <c r="C67" s="25" t="s">
        <v>79</v>
      </c>
      <c r="D67" s="26" t="s">
        <v>80</v>
      </c>
      <c r="E67" s="27" t="s">
        <v>69</v>
      </c>
      <c r="F67" s="27" t="str">
        <f t="shared" si="0"/>
        <v>주방 마감 및 가구 특화48B</v>
      </c>
      <c r="G67" s="54">
        <v>2700000</v>
      </c>
      <c r="H67" s="55">
        <f t="shared" si="1"/>
        <v>2454545</v>
      </c>
      <c r="I67" s="55">
        <v>245455</v>
      </c>
      <c r="J67" s="30"/>
    </row>
    <row r="68" spans="2:11" ht="30" customHeight="1">
      <c r="B68" s="24">
        <v>4</v>
      </c>
      <c r="C68" s="25" t="s">
        <v>79</v>
      </c>
      <c r="D68" s="26" t="s">
        <v>80</v>
      </c>
      <c r="E68" s="27" t="s">
        <v>11</v>
      </c>
      <c r="F68" s="27" t="str">
        <f t="shared" si="0"/>
        <v>주방 마감 및 가구 특화52A</v>
      </c>
      <c r="G68" s="54">
        <v>2700000</v>
      </c>
      <c r="H68" s="55">
        <f t="shared" si="1"/>
        <v>2454545</v>
      </c>
      <c r="I68" s="55">
        <v>245455</v>
      </c>
      <c r="J68" s="30"/>
    </row>
    <row r="69" spans="2:11" ht="30" customHeight="1">
      <c r="B69" s="24">
        <v>4</v>
      </c>
      <c r="C69" s="25" t="s">
        <v>79</v>
      </c>
      <c r="D69" s="26" t="s">
        <v>80</v>
      </c>
      <c r="E69" s="27" t="s">
        <v>70</v>
      </c>
      <c r="F69" s="27" t="str">
        <f t="shared" si="0"/>
        <v>주방 마감 및 가구 특화52B</v>
      </c>
      <c r="G69" s="54">
        <v>2100000</v>
      </c>
      <c r="H69" s="55">
        <f t="shared" si="1"/>
        <v>1909090</v>
      </c>
      <c r="I69" s="55">
        <v>190910</v>
      </c>
      <c r="J69" s="30"/>
    </row>
    <row r="70" spans="2:11" ht="30" customHeight="1">
      <c r="B70" s="24">
        <v>4</v>
      </c>
      <c r="C70" s="25" t="s">
        <v>79</v>
      </c>
      <c r="D70" s="26" t="s">
        <v>80</v>
      </c>
      <c r="E70" s="20" t="s">
        <v>71</v>
      </c>
      <c r="F70" s="20" t="str">
        <f t="shared" si="0"/>
        <v>주방 마감 및 가구 특화52C</v>
      </c>
      <c r="G70" s="56">
        <v>1500000</v>
      </c>
      <c r="H70" s="57">
        <f t="shared" ref="H70:H133" si="3">+TRUNC(G70/1.1,0)</f>
        <v>1363636</v>
      </c>
      <c r="I70" s="57">
        <v>136364</v>
      </c>
      <c r="J70" s="23"/>
    </row>
    <row r="71" spans="2:11" ht="30" customHeight="1">
      <c r="B71" s="24">
        <v>4</v>
      </c>
      <c r="C71" s="25" t="s">
        <v>79</v>
      </c>
      <c r="D71" s="26" t="s">
        <v>80</v>
      </c>
      <c r="E71" s="20" t="s">
        <v>14</v>
      </c>
      <c r="F71" s="20" t="str">
        <f t="shared" si="0"/>
        <v>주방 마감 및 가구 특화55A</v>
      </c>
      <c r="G71" s="56">
        <v>4800000</v>
      </c>
      <c r="H71" s="57">
        <f t="shared" si="3"/>
        <v>4363636</v>
      </c>
      <c r="I71" s="57">
        <v>436364</v>
      </c>
      <c r="J71" s="23" t="s">
        <v>81</v>
      </c>
    </row>
    <row r="72" spans="2:11" ht="30" customHeight="1">
      <c r="B72" s="24">
        <v>4</v>
      </c>
      <c r="C72" s="25" t="s">
        <v>79</v>
      </c>
      <c r="D72" s="26" t="s">
        <v>80</v>
      </c>
      <c r="E72" s="27" t="s">
        <v>72</v>
      </c>
      <c r="F72" s="27" t="str">
        <f t="shared" si="0"/>
        <v>주방 마감 및 가구 특화55B</v>
      </c>
      <c r="G72" s="54">
        <v>4400000</v>
      </c>
      <c r="H72" s="55">
        <f t="shared" si="3"/>
        <v>4000000</v>
      </c>
      <c r="I72" s="55">
        <v>400000</v>
      </c>
      <c r="J72" s="30" t="s">
        <v>82</v>
      </c>
    </row>
    <row r="73" spans="2:11" ht="30" customHeight="1">
      <c r="B73" s="24">
        <v>4</v>
      </c>
      <c r="C73" s="25" t="s">
        <v>79</v>
      </c>
      <c r="D73" s="26" t="s">
        <v>80</v>
      </c>
      <c r="E73" s="27" t="s">
        <v>16</v>
      </c>
      <c r="F73" s="27" t="str">
        <f t="shared" si="0"/>
        <v>주방 마감 및 가구 특화59A</v>
      </c>
      <c r="G73" s="54">
        <v>4500000</v>
      </c>
      <c r="H73" s="55">
        <f t="shared" si="3"/>
        <v>4090909</v>
      </c>
      <c r="I73" s="55">
        <v>409091</v>
      </c>
      <c r="J73" s="30" t="s">
        <v>81</v>
      </c>
    </row>
    <row r="74" spans="2:11" ht="30" customHeight="1">
      <c r="B74" s="24">
        <v>4</v>
      </c>
      <c r="C74" s="25" t="s">
        <v>79</v>
      </c>
      <c r="D74" s="26" t="s">
        <v>80</v>
      </c>
      <c r="E74" s="27" t="s">
        <v>73</v>
      </c>
      <c r="F74" s="27" t="str">
        <f t="shared" si="0"/>
        <v>주방 마감 및 가구 특화59B</v>
      </c>
      <c r="G74" s="54">
        <v>3800000</v>
      </c>
      <c r="H74" s="55">
        <f t="shared" si="3"/>
        <v>3454545</v>
      </c>
      <c r="I74" s="55">
        <v>345455</v>
      </c>
      <c r="J74" s="30" t="s">
        <v>81</v>
      </c>
    </row>
    <row r="75" spans="2:11" ht="30" customHeight="1">
      <c r="B75" s="24">
        <v>4</v>
      </c>
      <c r="C75" s="25" t="s">
        <v>79</v>
      </c>
      <c r="D75" s="26" t="s">
        <v>80</v>
      </c>
      <c r="E75" s="27" t="s">
        <v>6</v>
      </c>
      <c r="F75" s="27" t="str">
        <f t="shared" si="0"/>
        <v>주방 마감 및 가구 특화59C</v>
      </c>
      <c r="G75" s="54">
        <v>2400000</v>
      </c>
      <c r="H75" s="55">
        <f t="shared" si="3"/>
        <v>2181818</v>
      </c>
      <c r="I75" s="55">
        <v>218182</v>
      </c>
      <c r="J75" s="30" t="s">
        <v>81</v>
      </c>
    </row>
    <row r="76" spans="2:11" ht="30" customHeight="1">
      <c r="B76" s="24">
        <v>4</v>
      </c>
      <c r="C76" s="25" t="s">
        <v>79</v>
      </c>
      <c r="D76" s="26" t="s">
        <v>80</v>
      </c>
      <c r="E76" s="27" t="s">
        <v>74</v>
      </c>
      <c r="F76" s="27" t="str">
        <f t="shared" si="0"/>
        <v>주방 마감 및 가구 특화59D</v>
      </c>
      <c r="G76" s="54">
        <v>2400000</v>
      </c>
      <c r="H76" s="55">
        <f t="shared" si="3"/>
        <v>2181818</v>
      </c>
      <c r="I76" s="55">
        <v>218182</v>
      </c>
      <c r="J76" s="30" t="s">
        <v>81</v>
      </c>
    </row>
    <row r="77" spans="2:11" ht="30" customHeight="1">
      <c r="B77" s="24">
        <v>4</v>
      </c>
      <c r="C77" s="25" t="s">
        <v>79</v>
      </c>
      <c r="D77" s="26" t="s">
        <v>80</v>
      </c>
      <c r="E77" s="27" t="s">
        <v>75</v>
      </c>
      <c r="F77" s="27" t="str">
        <f t="shared" si="0"/>
        <v>주방 마감 및 가구 특화59E</v>
      </c>
      <c r="G77" s="54">
        <v>4600000</v>
      </c>
      <c r="H77" s="55">
        <f t="shared" si="3"/>
        <v>4181818</v>
      </c>
      <c r="I77" s="55">
        <v>418182</v>
      </c>
      <c r="J77" s="30"/>
    </row>
    <row r="78" spans="2:11" ht="30" customHeight="1">
      <c r="B78" s="24">
        <v>4</v>
      </c>
      <c r="C78" s="25" t="s">
        <v>79</v>
      </c>
      <c r="D78" s="26" t="s">
        <v>80</v>
      </c>
      <c r="E78" s="31" t="s">
        <v>12</v>
      </c>
      <c r="F78" s="31" t="str">
        <f t="shared" si="0"/>
        <v>주방 마감 및 가구 특화59F</v>
      </c>
      <c r="G78" s="58">
        <v>2200000</v>
      </c>
      <c r="H78" s="59">
        <f t="shared" si="3"/>
        <v>2000000</v>
      </c>
      <c r="I78" s="59">
        <v>200000</v>
      </c>
      <c r="J78" s="34"/>
    </row>
    <row r="79" spans="2:11" ht="30" customHeight="1">
      <c r="B79" s="24">
        <v>4</v>
      </c>
      <c r="C79" s="25" t="s">
        <v>79</v>
      </c>
      <c r="D79" s="26" t="s">
        <v>80</v>
      </c>
      <c r="E79" s="27" t="s">
        <v>63</v>
      </c>
      <c r="F79" s="27" t="str">
        <f t="shared" si="0"/>
        <v>주방 마감 및 가구 특화65A</v>
      </c>
      <c r="G79" s="54">
        <v>2100000</v>
      </c>
      <c r="H79" s="59">
        <f t="shared" si="3"/>
        <v>1909090</v>
      </c>
      <c r="I79" s="59">
        <v>190910</v>
      </c>
      <c r="J79" s="34"/>
    </row>
    <row r="80" spans="2:11" ht="30" customHeight="1">
      <c r="B80" s="24">
        <v>4</v>
      </c>
      <c r="C80" s="25" t="s">
        <v>79</v>
      </c>
      <c r="D80" s="26" t="s">
        <v>80</v>
      </c>
      <c r="E80" s="27" t="s">
        <v>64</v>
      </c>
      <c r="F80" s="27" t="str">
        <f t="shared" si="0"/>
        <v>주방 마감 및 가구 특화65B</v>
      </c>
      <c r="G80" s="56">
        <v>1500000</v>
      </c>
      <c r="H80" s="60">
        <f t="shared" si="3"/>
        <v>1363636</v>
      </c>
      <c r="I80" s="60">
        <v>136364</v>
      </c>
      <c r="J80" s="34"/>
    </row>
    <row r="81" spans="2:11" ht="30" customHeight="1">
      <c r="B81" s="24">
        <v>4</v>
      </c>
      <c r="C81" s="25" t="s">
        <v>79</v>
      </c>
      <c r="D81" s="26" t="s">
        <v>80</v>
      </c>
      <c r="E81" s="27">
        <v>68</v>
      </c>
      <c r="F81" s="27" t="str">
        <f t="shared" si="0"/>
        <v>주방 마감 및 가구 특화68</v>
      </c>
      <c r="G81" s="54">
        <v>4400000</v>
      </c>
      <c r="H81" s="55">
        <f t="shared" si="3"/>
        <v>4000000</v>
      </c>
      <c r="I81" s="55">
        <v>400000</v>
      </c>
      <c r="J81" s="30" t="s">
        <v>82</v>
      </c>
    </row>
    <row r="82" spans="2:11" ht="30" customHeight="1">
      <c r="B82" s="24">
        <v>4</v>
      </c>
      <c r="C82" s="25" t="s">
        <v>79</v>
      </c>
      <c r="D82" s="26" t="s">
        <v>80</v>
      </c>
      <c r="E82" s="27">
        <v>79</v>
      </c>
      <c r="F82" s="27" t="str">
        <f t="shared" si="0"/>
        <v>주방 마감 및 가구 특화79</v>
      </c>
      <c r="G82" s="54">
        <v>3800000</v>
      </c>
      <c r="H82" s="55">
        <f t="shared" si="3"/>
        <v>3454545</v>
      </c>
      <c r="I82" s="55">
        <v>345455</v>
      </c>
      <c r="J82" s="30" t="s">
        <v>81</v>
      </c>
    </row>
    <row r="83" spans="2:11" ht="30" customHeight="1" thickBot="1">
      <c r="B83" s="42">
        <v>4</v>
      </c>
      <c r="C83" s="43" t="s">
        <v>79</v>
      </c>
      <c r="D83" s="44" t="s">
        <v>80</v>
      </c>
      <c r="E83" s="45">
        <v>84</v>
      </c>
      <c r="F83" s="45" t="str">
        <f t="shared" si="0"/>
        <v>주방 마감 및 가구 특화84</v>
      </c>
      <c r="G83" s="61">
        <v>4600000</v>
      </c>
      <c r="H83" s="62">
        <f t="shared" si="3"/>
        <v>4181818</v>
      </c>
      <c r="I83" s="62">
        <v>418182</v>
      </c>
      <c r="J83" s="48"/>
    </row>
    <row r="84" spans="2:11" ht="30" customHeight="1">
      <c r="B84" s="63">
        <v>1</v>
      </c>
      <c r="C84" s="64" t="s">
        <v>31</v>
      </c>
      <c r="D84" s="65" t="s">
        <v>83</v>
      </c>
      <c r="E84" s="20" t="s">
        <v>10</v>
      </c>
      <c r="F84" s="20" t="str">
        <f t="shared" ref="F84:F147" si="4">+C84&amp;E84</f>
        <v>드레스룸 특화52A</v>
      </c>
      <c r="G84" s="21">
        <v>2100000</v>
      </c>
      <c r="H84" s="22">
        <f t="shared" si="3"/>
        <v>1909090</v>
      </c>
      <c r="I84" s="22">
        <v>190910</v>
      </c>
      <c r="J84" s="23"/>
    </row>
    <row r="85" spans="2:11" ht="30" customHeight="1">
      <c r="B85" s="66">
        <v>2</v>
      </c>
      <c r="C85" s="67" t="s">
        <v>84</v>
      </c>
      <c r="D85" s="68" t="s">
        <v>85</v>
      </c>
      <c r="E85" s="27" t="s">
        <v>21</v>
      </c>
      <c r="F85" s="27" t="str">
        <f t="shared" si="4"/>
        <v>드레스룸 특화52B</v>
      </c>
      <c r="G85" s="28">
        <v>1100000</v>
      </c>
      <c r="H85" s="29">
        <f t="shared" si="3"/>
        <v>1000000</v>
      </c>
      <c r="I85" s="29">
        <v>100000</v>
      </c>
      <c r="J85" s="30"/>
    </row>
    <row r="86" spans="2:11" ht="30" customHeight="1">
      <c r="B86" s="66">
        <v>3</v>
      </c>
      <c r="C86" s="67" t="s">
        <v>84</v>
      </c>
      <c r="D86" s="67" t="s">
        <v>86</v>
      </c>
      <c r="E86" s="27" t="s">
        <v>22</v>
      </c>
      <c r="F86" s="27" t="str">
        <f t="shared" si="4"/>
        <v>드레스룸 특화52C</v>
      </c>
      <c r="G86" s="28">
        <v>2100000</v>
      </c>
      <c r="H86" s="29">
        <f t="shared" si="3"/>
        <v>1909090</v>
      </c>
      <c r="I86" s="29">
        <v>190910</v>
      </c>
      <c r="J86" s="30"/>
    </row>
    <row r="87" spans="2:11" ht="30" customHeight="1">
      <c r="B87" s="66">
        <v>4</v>
      </c>
      <c r="C87" s="67" t="s">
        <v>84</v>
      </c>
      <c r="D87" s="67" t="s">
        <v>86</v>
      </c>
      <c r="E87" s="27" t="s">
        <v>13</v>
      </c>
      <c r="F87" s="27" t="str">
        <f t="shared" si="4"/>
        <v>드레스룸 특화55A</v>
      </c>
      <c r="G87" s="28">
        <v>1100000</v>
      </c>
      <c r="H87" s="29">
        <f t="shared" si="3"/>
        <v>1000000</v>
      </c>
      <c r="I87" s="29">
        <v>100000</v>
      </c>
      <c r="J87" s="30"/>
    </row>
    <row r="88" spans="2:11" ht="30" customHeight="1">
      <c r="B88" s="66">
        <v>5</v>
      </c>
      <c r="C88" s="67" t="s">
        <v>84</v>
      </c>
      <c r="D88" s="67" t="s">
        <v>87</v>
      </c>
      <c r="E88" s="27" t="s">
        <v>18</v>
      </c>
      <c r="F88" s="27" t="str">
        <f t="shared" si="4"/>
        <v>드레스룸 특화55B</v>
      </c>
      <c r="G88" s="28">
        <v>4100000</v>
      </c>
      <c r="H88" s="29">
        <f t="shared" si="3"/>
        <v>3727272</v>
      </c>
      <c r="I88" s="29">
        <v>372728</v>
      </c>
      <c r="J88" s="30"/>
    </row>
    <row r="89" spans="2:11" ht="30" customHeight="1">
      <c r="B89" s="66">
        <v>6</v>
      </c>
      <c r="C89" s="68" t="s">
        <v>84</v>
      </c>
      <c r="D89" s="67" t="s">
        <v>86</v>
      </c>
      <c r="E89" s="27" t="s">
        <v>15</v>
      </c>
      <c r="F89" s="27" t="str">
        <f t="shared" si="4"/>
        <v>드레스룸 특화59A</v>
      </c>
      <c r="G89" s="28">
        <v>1200000</v>
      </c>
      <c r="H89" s="29">
        <f t="shared" si="3"/>
        <v>1090909</v>
      </c>
      <c r="I89" s="29">
        <v>109091</v>
      </c>
      <c r="J89" s="30"/>
    </row>
    <row r="90" spans="2:11" ht="30" customHeight="1">
      <c r="B90" s="66">
        <v>7</v>
      </c>
      <c r="C90" s="67" t="s">
        <v>84</v>
      </c>
      <c r="D90" s="67" t="s">
        <v>86</v>
      </c>
      <c r="E90" s="27" t="s">
        <v>19</v>
      </c>
      <c r="F90" s="27" t="str">
        <f t="shared" si="4"/>
        <v>드레스룸 특화59B</v>
      </c>
      <c r="G90" s="28">
        <v>1200000</v>
      </c>
      <c r="H90" s="29">
        <f t="shared" si="3"/>
        <v>1090909</v>
      </c>
      <c r="I90" s="29">
        <v>109091</v>
      </c>
      <c r="J90" s="30"/>
    </row>
    <row r="91" spans="2:11" ht="30" customHeight="1">
      <c r="B91" s="66">
        <v>8</v>
      </c>
      <c r="C91" s="67" t="s">
        <v>84</v>
      </c>
      <c r="D91" s="67" t="s">
        <v>86</v>
      </c>
      <c r="E91" s="27" t="s">
        <v>7</v>
      </c>
      <c r="F91" s="27" t="str">
        <f t="shared" si="4"/>
        <v>드레스룸 특화59C</v>
      </c>
      <c r="G91" s="28">
        <v>1300000</v>
      </c>
      <c r="H91" s="29">
        <f t="shared" si="3"/>
        <v>1181818</v>
      </c>
      <c r="I91" s="29">
        <v>118182</v>
      </c>
      <c r="J91" s="30"/>
      <c r="K91" s="69"/>
    </row>
    <row r="92" spans="2:11" ht="30" customHeight="1">
      <c r="B92" s="66">
        <v>9</v>
      </c>
      <c r="C92" s="67" t="s">
        <v>84</v>
      </c>
      <c r="D92" s="67" t="s">
        <v>86</v>
      </c>
      <c r="E92" s="27" t="s">
        <v>9</v>
      </c>
      <c r="F92" s="27" t="str">
        <f t="shared" si="4"/>
        <v>드레스룸 특화59D</v>
      </c>
      <c r="G92" s="28">
        <v>1300000</v>
      </c>
      <c r="H92" s="29">
        <f t="shared" si="3"/>
        <v>1181818</v>
      </c>
      <c r="I92" s="29">
        <v>118182</v>
      </c>
      <c r="J92" s="30"/>
      <c r="K92" s="69"/>
    </row>
    <row r="93" spans="2:11" ht="30" customHeight="1">
      <c r="B93" s="66">
        <v>10</v>
      </c>
      <c r="C93" s="67" t="s">
        <v>84</v>
      </c>
      <c r="D93" s="67" t="s">
        <v>85</v>
      </c>
      <c r="E93" s="27" t="s">
        <v>63</v>
      </c>
      <c r="F93" s="27" t="str">
        <f t="shared" si="4"/>
        <v>드레스룸 특화65A</v>
      </c>
      <c r="G93" s="28">
        <v>1100000</v>
      </c>
      <c r="H93" s="29">
        <f t="shared" si="3"/>
        <v>1000000</v>
      </c>
      <c r="I93" s="29">
        <v>100000</v>
      </c>
      <c r="J93" s="30"/>
      <c r="K93" s="69"/>
    </row>
    <row r="94" spans="2:11" ht="30" customHeight="1">
      <c r="B94" s="66">
        <v>11</v>
      </c>
      <c r="C94" s="67" t="s">
        <v>84</v>
      </c>
      <c r="D94" s="67" t="s">
        <v>86</v>
      </c>
      <c r="E94" s="27" t="s">
        <v>64</v>
      </c>
      <c r="F94" s="27" t="str">
        <f t="shared" si="4"/>
        <v>드레스룸 특화65B</v>
      </c>
      <c r="G94" s="28">
        <v>2100000</v>
      </c>
      <c r="H94" s="33">
        <f t="shared" si="3"/>
        <v>1909090</v>
      </c>
      <c r="I94" s="33">
        <v>190910</v>
      </c>
      <c r="J94" s="34"/>
      <c r="K94" s="69"/>
    </row>
    <row r="95" spans="2:11" ht="30" customHeight="1">
      <c r="B95" s="66">
        <v>12</v>
      </c>
      <c r="C95" s="67" t="s">
        <v>84</v>
      </c>
      <c r="D95" s="67" t="s">
        <v>87</v>
      </c>
      <c r="E95" s="27">
        <v>68</v>
      </c>
      <c r="F95" s="27" t="str">
        <f t="shared" si="4"/>
        <v>드레스룸 특화68</v>
      </c>
      <c r="G95" s="28">
        <v>4100000</v>
      </c>
      <c r="H95" s="33">
        <f t="shared" si="3"/>
        <v>3727272</v>
      </c>
      <c r="I95" s="33">
        <v>372728</v>
      </c>
      <c r="J95" s="34"/>
      <c r="K95" s="69"/>
    </row>
    <row r="96" spans="2:11" ht="30" customHeight="1" thickBot="1">
      <c r="B96" s="70">
        <v>13</v>
      </c>
      <c r="C96" s="71" t="s">
        <v>84</v>
      </c>
      <c r="D96" s="71" t="s">
        <v>86</v>
      </c>
      <c r="E96" s="45">
        <v>79</v>
      </c>
      <c r="F96" s="45" t="str">
        <f t="shared" si="4"/>
        <v>드레스룸 특화79</v>
      </c>
      <c r="G96" s="46">
        <v>1200000</v>
      </c>
      <c r="H96" s="47">
        <f t="shared" si="3"/>
        <v>1090909</v>
      </c>
      <c r="I96" s="47">
        <v>109091</v>
      </c>
      <c r="J96" s="48"/>
    </row>
    <row r="97" spans="2:11" ht="30" customHeight="1">
      <c r="B97" s="35">
        <v>1</v>
      </c>
      <c r="C97" s="72" t="s">
        <v>33</v>
      </c>
      <c r="D97" s="73" t="s">
        <v>88</v>
      </c>
      <c r="E97" s="49" t="s">
        <v>60</v>
      </c>
      <c r="F97" s="49" t="str">
        <f t="shared" si="4"/>
        <v>붙박이장(침실2)43</v>
      </c>
      <c r="G97" s="39">
        <v>1800000</v>
      </c>
      <c r="H97" s="40">
        <f t="shared" si="3"/>
        <v>1636363</v>
      </c>
      <c r="I97" s="40">
        <v>163637</v>
      </c>
      <c r="J97" s="41"/>
      <c r="K97" s="53"/>
    </row>
    <row r="98" spans="2:11" ht="30" customHeight="1">
      <c r="B98" s="24"/>
      <c r="C98" s="74" t="s">
        <v>89</v>
      </c>
      <c r="D98" s="75" t="s">
        <v>88</v>
      </c>
      <c r="E98" s="27" t="s">
        <v>17</v>
      </c>
      <c r="F98" s="27" t="str">
        <f t="shared" si="4"/>
        <v>붙박이장(침실2)48A</v>
      </c>
      <c r="G98" s="28">
        <v>1700000</v>
      </c>
      <c r="H98" s="29">
        <f t="shared" si="3"/>
        <v>1545454</v>
      </c>
      <c r="I98" s="29">
        <v>154546</v>
      </c>
      <c r="J98" s="30"/>
    </row>
    <row r="99" spans="2:11" ht="30" customHeight="1">
      <c r="B99" s="24"/>
      <c r="C99" s="74" t="s">
        <v>89</v>
      </c>
      <c r="D99" s="75" t="s">
        <v>88</v>
      </c>
      <c r="E99" s="27" t="s">
        <v>8</v>
      </c>
      <c r="F99" s="27" t="str">
        <f t="shared" si="4"/>
        <v>붙박이장(침실2)48B</v>
      </c>
      <c r="G99" s="28">
        <v>1700000</v>
      </c>
      <c r="H99" s="29">
        <f t="shared" si="3"/>
        <v>1545454</v>
      </c>
      <c r="I99" s="29">
        <v>154546</v>
      </c>
      <c r="J99" s="30"/>
    </row>
    <row r="100" spans="2:11" ht="30" customHeight="1">
      <c r="B100" s="24"/>
      <c r="C100" s="74" t="s">
        <v>89</v>
      </c>
      <c r="D100" s="75" t="s">
        <v>88</v>
      </c>
      <c r="E100" s="27" t="s">
        <v>10</v>
      </c>
      <c r="F100" s="27" t="str">
        <f t="shared" si="4"/>
        <v>붙박이장(침실2)52A</v>
      </c>
      <c r="G100" s="28">
        <v>2200000</v>
      </c>
      <c r="H100" s="29">
        <f t="shared" si="3"/>
        <v>2000000</v>
      </c>
      <c r="I100" s="29">
        <v>200000</v>
      </c>
      <c r="J100" s="30"/>
    </row>
    <row r="101" spans="2:11" ht="30" customHeight="1">
      <c r="B101" s="24"/>
      <c r="C101" s="74" t="s">
        <v>89</v>
      </c>
      <c r="D101" s="75" t="s">
        <v>88</v>
      </c>
      <c r="E101" s="27" t="s">
        <v>21</v>
      </c>
      <c r="F101" s="27" t="str">
        <f t="shared" si="4"/>
        <v>붙박이장(침실2)52B</v>
      </c>
      <c r="G101" s="28">
        <v>1800000</v>
      </c>
      <c r="H101" s="29">
        <f t="shared" si="3"/>
        <v>1636363</v>
      </c>
      <c r="I101" s="29">
        <v>163637</v>
      </c>
      <c r="J101" s="30"/>
    </row>
    <row r="102" spans="2:11" ht="30" customHeight="1">
      <c r="B102" s="24"/>
      <c r="C102" s="74" t="s">
        <v>89</v>
      </c>
      <c r="D102" s="75" t="s">
        <v>88</v>
      </c>
      <c r="E102" s="27" t="s">
        <v>22</v>
      </c>
      <c r="F102" s="27" t="str">
        <f t="shared" si="4"/>
        <v>붙박이장(침실2)52C</v>
      </c>
      <c r="G102" s="28">
        <v>2200000</v>
      </c>
      <c r="H102" s="29">
        <f t="shared" si="3"/>
        <v>2000000</v>
      </c>
      <c r="I102" s="29">
        <v>200000</v>
      </c>
      <c r="J102" s="30"/>
    </row>
    <row r="103" spans="2:11" ht="30" customHeight="1">
      <c r="B103" s="24"/>
      <c r="C103" s="74" t="s">
        <v>89</v>
      </c>
      <c r="D103" s="75" t="s">
        <v>88</v>
      </c>
      <c r="E103" s="28" t="s">
        <v>13</v>
      </c>
      <c r="F103" s="28" t="str">
        <f t="shared" si="4"/>
        <v>붙박이장(침실2)55A</v>
      </c>
      <c r="G103" s="28">
        <v>1700000</v>
      </c>
      <c r="H103" s="29">
        <f t="shared" si="3"/>
        <v>1545454</v>
      </c>
      <c r="I103" s="29">
        <v>154546</v>
      </c>
      <c r="J103" s="76"/>
    </row>
    <row r="104" spans="2:11" ht="30" customHeight="1">
      <c r="B104" s="24"/>
      <c r="C104" s="74" t="s">
        <v>32</v>
      </c>
      <c r="D104" s="75" t="s">
        <v>90</v>
      </c>
      <c r="E104" s="21" t="s">
        <v>18</v>
      </c>
      <c r="F104" s="21" t="str">
        <f t="shared" si="4"/>
        <v>붙박이장(침실1)55B</v>
      </c>
      <c r="G104" s="21">
        <v>1600000</v>
      </c>
      <c r="H104" s="22">
        <f t="shared" si="3"/>
        <v>1454545</v>
      </c>
      <c r="I104" s="22">
        <v>145455</v>
      </c>
      <c r="J104" s="77"/>
    </row>
    <row r="105" spans="2:11" ht="30" customHeight="1">
      <c r="B105" s="24"/>
      <c r="C105" s="74" t="s">
        <v>32</v>
      </c>
      <c r="D105" s="75" t="s">
        <v>90</v>
      </c>
      <c r="E105" s="32" t="s">
        <v>15</v>
      </c>
      <c r="F105" s="32" t="str">
        <f t="shared" si="4"/>
        <v>붙박이장(침실1)59A</v>
      </c>
      <c r="G105" s="28">
        <v>3900000</v>
      </c>
      <c r="H105" s="29">
        <f t="shared" si="3"/>
        <v>3545454</v>
      </c>
      <c r="I105" s="29">
        <v>354546</v>
      </c>
      <c r="J105" s="76"/>
    </row>
    <row r="106" spans="2:11" ht="30" customHeight="1">
      <c r="B106" s="24"/>
      <c r="C106" s="74" t="s">
        <v>89</v>
      </c>
      <c r="D106" s="75" t="s">
        <v>88</v>
      </c>
      <c r="E106" s="32" t="s">
        <v>15</v>
      </c>
      <c r="F106" s="32" t="str">
        <f t="shared" si="4"/>
        <v>붙박이장(침실2)59A</v>
      </c>
      <c r="G106" s="28">
        <v>1700000</v>
      </c>
      <c r="H106" s="29">
        <f t="shared" si="3"/>
        <v>1545454</v>
      </c>
      <c r="I106" s="29">
        <v>154546</v>
      </c>
      <c r="J106" s="76"/>
    </row>
    <row r="107" spans="2:11" ht="30" customHeight="1">
      <c r="B107" s="24"/>
      <c r="C107" s="74" t="s">
        <v>32</v>
      </c>
      <c r="D107" s="75" t="s">
        <v>90</v>
      </c>
      <c r="E107" s="32" t="s">
        <v>19</v>
      </c>
      <c r="F107" s="32" t="str">
        <f t="shared" si="4"/>
        <v>붙박이장(침실1)59B</v>
      </c>
      <c r="G107" s="28">
        <v>3900000</v>
      </c>
      <c r="H107" s="29">
        <f t="shared" si="3"/>
        <v>3545454</v>
      </c>
      <c r="I107" s="29">
        <v>354546</v>
      </c>
      <c r="J107" s="76"/>
    </row>
    <row r="108" spans="2:11" ht="30" customHeight="1">
      <c r="B108" s="24"/>
      <c r="C108" s="74" t="s">
        <v>89</v>
      </c>
      <c r="D108" s="75" t="s">
        <v>88</v>
      </c>
      <c r="E108" s="32" t="s">
        <v>19</v>
      </c>
      <c r="F108" s="32" t="str">
        <f t="shared" si="4"/>
        <v>붙박이장(침실2)59B</v>
      </c>
      <c r="G108" s="28">
        <v>1700000</v>
      </c>
      <c r="H108" s="29">
        <f t="shared" si="3"/>
        <v>1545454</v>
      </c>
      <c r="I108" s="29">
        <v>154546</v>
      </c>
      <c r="J108" s="76"/>
    </row>
    <row r="109" spans="2:11" ht="30" customHeight="1">
      <c r="B109" s="24"/>
      <c r="C109" s="74" t="s">
        <v>32</v>
      </c>
      <c r="D109" s="75" t="s">
        <v>91</v>
      </c>
      <c r="E109" s="32" t="s">
        <v>7</v>
      </c>
      <c r="F109" s="32" t="str">
        <f t="shared" si="4"/>
        <v>붙박이장(침실1)59C</v>
      </c>
      <c r="G109" s="28">
        <v>5300000</v>
      </c>
      <c r="H109" s="29">
        <f t="shared" si="3"/>
        <v>4818181</v>
      </c>
      <c r="I109" s="29">
        <v>481819</v>
      </c>
      <c r="J109" s="78"/>
      <c r="K109" s="69"/>
    </row>
    <row r="110" spans="2:11" ht="30" customHeight="1">
      <c r="B110" s="24"/>
      <c r="C110" s="74" t="s">
        <v>89</v>
      </c>
      <c r="D110" s="75" t="s">
        <v>88</v>
      </c>
      <c r="E110" s="32" t="s">
        <v>7</v>
      </c>
      <c r="F110" s="32" t="str">
        <f t="shared" si="4"/>
        <v>붙박이장(침실2)59C</v>
      </c>
      <c r="G110" s="28">
        <v>1700000</v>
      </c>
      <c r="H110" s="29">
        <f t="shared" si="3"/>
        <v>1545454</v>
      </c>
      <c r="I110" s="29">
        <v>154546</v>
      </c>
      <c r="J110" s="76"/>
    </row>
    <row r="111" spans="2:11" ht="30" customHeight="1">
      <c r="B111" s="24"/>
      <c r="C111" s="74" t="s">
        <v>32</v>
      </c>
      <c r="D111" s="75" t="s">
        <v>92</v>
      </c>
      <c r="E111" s="32" t="s">
        <v>9</v>
      </c>
      <c r="F111" s="32" t="str">
        <f t="shared" si="4"/>
        <v>붙박이장(침실1)59D</v>
      </c>
      <c r="G111" s="28">
        <v>6800000</v>
      </c>
      <c r="H111" s="29">
        <f t="shared" si="3"/>
        <v>6181818</v>
      </c>
      <c r="I111" s="29">
        <v>618182</v>
      </c>
      <c r="J111" s="76"/>
    </row>
    <row r="112" spans="2:11" ht="30" customHeight="1">
      <c r="B112" s="24"/>
      <c r="C112" s="74" t="s">
        <v>89</v>
      </c>
      <c r="D112" s="75" t="s">
        <v>88</v>
      </c>
      <c r="E112" s="32" t="s">
        <v>9</v>
      </c>
      <c r="F112" s="32" t="str">
        <f t="shared" si="4"/>
        <v>붙박이장(침실2)59D</v>
      </c>
      <c r="G112" s="28">
        <v>1700000</v>
      </c>
      <c r="H112" s="29">
        <f t="shared" si="3"/>
        <v>1545454</v>
      </c>
      <c r="I112" s="29">
        <v>154546</v>
      </c>
      <c r="J112" s="76"/>
    </row>
    <row r="113" spans="2:10" ht="30" customHeight="1">
      <c r="B113" s="24"/>
      <c r="C113" s="74" t="s">
        <v>32</v>
      </c>
      <c r="D113" s="75" t="s">
        <v>90</v>
      </c>
      <c r="E113" s="32" t="s">
        <v>20</v>
      </c>
      <c r="F113" s="32" t="str">
        <f t="shared" si="4"/>
        <v>붙박이장(침실1)59E</v>
      </c>
      <c r="G113" s="28">
        <v>5000000</v>
      </c>
      <c r="H113" s="29">
        <f t="shared" si="3"/>
        <v>4545454</v>
      </c>
      <c r="I113" s="29">
        <v>454546</v>
      </c>
      <c r="J113" s="76"/>
    </row>
    <row r="114" spans="2:10" ht="30" customHeight="1">
      <c r="B114" s="24"/>
      <c r="C114" s="74" t="s">
        <v>93</v>
      </c>
      <c r="D114" s="75" t="s">
        <v>94</v>
      </c>
      <c r="E114" s="32" t="s">
        <v>20</v>
      </c>
      <c r="F114" s="32" t="str">
        <f t="shared" si="4"/>
        <v>붙박이장(침실3)59E</v>
      </c>
      <c r="G114" s="28">
        <v>1700000</v>
      </c>
      <c r="H114" s="29">
        <f t="shared" si="3"/>
        <v>1545454</v>
      </c>
      <c r="I114" s="29">
        <v>154546</v>
      </c>
      <c r="J114" s="76"/>
    </row>
    <row r="115" spans="2:10" ht="30" customHeight="1">
      <c r="B115" s="24"/>
      <c r="C115" s="74" t="s">
        <v>32</v>
      </c>
      <c r="D115" s="75" t="s">
        <v>90</v>
      </c>
      <c r="E115" s="32" t="s">
        <v>12</v>
      </c>
      <c r="F115" s="32" t="str">
        <f t="shared" si="4"/>
        <v>붙박이장(침실1)59F</v>
      </c>
      <c r="G115" s="28">
        <v>3900000</v>
      </c>
      <c r="H115" s="29">
        <f t="shared" si="3"/>
        <v>3545454</v>
      </c>
      <c r="I115" s="29">
        <v>354546</v>
      </c>
      <c r="J115" s="76"/>
    </row>
    <row r="116" spans="2:10" ht="30" customHeight="1">
      <c r="B116" s="24"/>
      <c r="C116" s="74" t="s">
        <v>89</v>
      </c>
      <c r="D116" s="75" t="s">
        <v>88</v>
      </c>
      <c r="E116" s="32" t="s">
        <v>12</v>
      </c>
      <c r="F116" s="32" t="str">
        <f t="shared" si="4"/>
        <v>붙박이장(침실2)59F</v>
      </c>
      <c r="G116" s="28">
        <v>1700000</v>
      </c>
      <c r="H116" s="29">
        <f t="shared" si="3"/>
        <v>1545454</v>
      </c>
      <c r="I116" s="29">
        <v>154546</v>
      </c>
      <c r="J116" s="76"/>
    </row>
    <row r="117" spans="2:10" ht="30" customHeight="1">
      <c r="B117" s="24"/>
      <c r="C117" s="74" t="s">
        <v>89</v>
      </c>
      <c r="D117" s="75" t="s">
        <v>88</v>
      </c>
      <c r="E117" s="28" t="s">
        <v>63</v>
      </c>
      <c r="F117" s="28" t="str">
        <f t="shared" si="4"/>
        <v>붙박이장(침실2)65A</v>
      </c>
      <c r="G117" s="28">
        <v>1800000</v>
      </c>
      <c r="H117" s="29">
        <f t="shared" si="3"/>
        <v>1636363</v>
      </c>
      <c r="I117" s="29">
        <v>163637</v>
      </c>
      <c r="J117" s="76"/>
    </row>
    <row r="118" spans="2:10" ht="30" customHeight="1">
      <c r="B118" s="24"/>
      <c r="C118" s="74" t="s">
        <v>89</v>
      </c>
      <c r="D118" s="75" t="s">
        <v>88</v>
      </c>
      <c r="E118" s="28" t="s">
        <v>64</v>
      </c>
      <c r="F118" s="28" t="str">
        <f t="shared" si="4"/>
        <v>붙박이장(침실2)65B</v>
      </c>
      <c r="G118" s="28">
        <v>2200000</v>
      </c>
      <c r="H118" s="29">
        <f t="shared" si="3"/>
        <v>2000000</v>
      </c>
      <c r="I118" s="29">
        <v>200000</v>
      </c>
      <c r="J118" s="76"/>
    </row>
    <row r="119" spans="2:10" ht="30" customHeight="1">
      <c r="B119" s="24"/>
      <c r="C119" s="74" t="s">
        <v>32</v>
      </c>
      <c r="D119" s="75" t="s">
        <v>90</v>
      </c>
      <c r="E119" s="28">
        <v>68</v>
      </c>
      <c r="F119" s="28" t="str">
        <f t="shared" si="4"/>
        <v>붙박이장(침실1)68</v>
      </c>
      <c r="G119" s="21">
        <v>1600000</v>
      </c>
      <c r="H119" s="22">
        <f t="shared" si="3"/>
        <v>1454545</v>
      </c>
      <c r="I119" s="22">
        <v>145455</v>
      </c>
      <c r="J119" s="77"/>
    </row>
    <row r="120" spans="2:10" ht="30" customHeight="1">
      <c r="B120" s="24"/>
      <c r="C120" s="74" t="s">
        <v>32</v>
      </c>
      <c r="D120" s="75" t="s">
        <v>90</v>
      </c>
      <c r="E120" s="28">
        <v>79</v>
      </c>
      <c r="F120" s="28" t="str">
        <f t="shared" si="4"/>
        <v>붙박이장(침실1)79</v>
      </c>
      <c r="G120" s="28">
        <v>3900000</v>
      </c>
      <c r="H120" s="29">
        <f t="shared" si="3"/>
        <v>3545454</v>
      </c>
      <c r="I120" s="29">
        <v>354546</v>
      </c>
      <c r="J120" s="76"/>
    </row>
    <row r="121" spans="2:10" ht="30" customHeight="1">
      <c r="B121" s="24"/>
      <c r="C121" s="74" t="s">
        <v>89</v>
      </c>
      <c r="D121" s="75" t="s">
        <v>88</v>
      </c>
      <c r="E121" s="79">
        <v>79</v>
      </c>
      <c r="F121" s="79" t="str">
        <f t="shared" si="4"/>
        <v>붙박이장(침실2)79</v>
      </c>
      <c r="G121" s="28">
        <v>1700000</v>
      </c>
      <c r="H121" s="29">
        <f t="shared" si="3"/>
        <v>1545454</v>
      </c>
      <c r="I121" s="29">
        <v>154546</v>
      </c>
      <c r="J121" s="80"/>
    </row>
    <row r="122" spans="2:10" ht="30" customHeight="1">
      <c r="B122" s="24"/>
      <c r="C122" s="74" t="s">
        <v>95</v>
      </c>
      <c r="D122" s="75" t="s">
        <v>90</v>
      </c>
      <c r="E122" s="28">
        <v>84</v>
      </c>
      <c r="F122" s="28" t="str">
        <f t="shared" si="4"/>
        <v>붙박이장(침실1)84</v>
      </c>
      <c r="G122" s="28">
        <v>5000000</v>
      </c>
      <c r="H122" s="29">
        <f t="shared" si="3"/>
        <v>4545454</v>
      </c>
      <c r="I122" s="29">
        <v>454546</v>
      </c>
      <c r="J122" s="76"/>
    </row>
    <row r="123" spans="2:10" ht="30" customHeight="1" thickBot="1">
      <c r="B123" s="42"/>
      <c r="C123" s="81" t="s">
        <v>34</v>
      </c>
      <c r="D123" s="82" t="s">
        <v>94</v>
      </c>
      <c r="E123" s="45">
        <v>84</v>
      </c>
      <c r="F123" s="45" t="str">
        <f t="shared" si="4"/>
        <v>붙박이장(침실3)84</v>
      </c>
      <c r="G123" s="46">
        <v>1700000</v>
      </c>
      <c r="H123" s="47">
        <f t="shared" si="3"/>
        <v>1545454</v>
      </c>
      <c r="I123" s="47">
        <v>154546</v>
      </c>
      <c r="J123" s="48"/>
    </row>
    <row r="124" spans="2:10" ht="30" customHeight="1" thickTop="1">
      <c r="B124" s="83">
        <v>1</v>
      </c>
      <c r="C124" s="84" t="s">
        <v>35</v>
      </c>
      <c r="D124" s="84" t="s">
        <v>96</v>
      </c>
      <c r="E124" s="85" t="s">
        <v>78</v>
      </c>
      <c r="F124" s="85" t="str">
        <f t="shared" si="4"/>
        <v>인덕션(3구)43</v>
      </c>
      <c r="G124" s="86">
        <v>400000</v>
      </c>
      <c r="H124" s="87">
        <f t="shared" si="3"/>
        <v>363636</v>
      </c>
      <c r="I124" s="87">
        <v>36364</v>
      </c>
      <c r="J124" s="88"/>
    </row>
    <row r="125" spans="2:10" ht="30" customHeight="1">
      <c r="B125" s="83"/>
      <c r="C125" s="84" t="s">
        <v>97</v>
      </c>
      <c r="D125" s="84" t="s">
        <v>98</v>
      </c>
      <c r="E125" s="85" t="s">
        <v>11</v>
      </c>
      <c r="F125" s="85" t="str">
        <f t="shared" si="4"/>
        <v>인덕션(3구)52A</v>
      </c>
      <c r="G125" s="28">
        <v>400000</v>
      </c>
      <c r="H125" s="87">
        <f t="shared" si="3"/>
        <v>363636</v>
      </c>
      <c r="I125" s="87">
        <v>36364</v>
      </c>
      <c r="J125" s="88"/>
    </row>
    <row r="126" spans="2:10" ht="30" customHeight="1">
      <c r="B126" s="83"/>
      <c r="C126" s="84" t="s">
        <v>97</v>
      </c>
      <c r="D126" s="84" t="s">
        <v>98</v>
      </c>
      <c r="E126" s="85" t="s">
        <v>71</v>
      </c>
      <c r="F126" s="85" t="str">
        <f t="shared" si="4"/>
        <v>인덕션(3구)52C</v>
      </c>
      <c r="G126" s="28">
        <v>400000</v>
      </c>
      <c r="H126" s="87">
        <f t="shared" si="3"/>
        <v>363636</v>
      </c>
      <c r="I126" s="87">
        <v>36364</v>
      </c>
      <c r="J126" s="88"/>
    </row>
    <row r="127" spans="2:10" ht="30" customHeight="1">
      <c r="B127" s="83"/>
      <c r="C127" s="84" t="s">
        <v>97</v>
      </c>
      <c r="D127" s="84" t="s">
        <v>98</v>
      </c>
      <c r="E127" s="85" t="s">
        <v>68</v>
      </c>
      <c r="F127" s="85" t="str">
        <f t="shared" si="4"/>
        <v>인덕션(3구)48A</v>
      </c>
      <c r="G127" s="28">
        <v>400000</v>
      </c>
      <c r="H127" s="87">
        <f t="shared" si="3"/>
        <v>363636</v>
      </c>
      <c r="I127" s="87">
        <v>36364</v>
      </c>
      <c r="J127" s="88"/>
    </row>
    <row r="128" spans="2:10" ht="30" customHeight="1">
      <c r="B128" s="83"/>
      <c r="C128" s="84" t="s">
        <v>97</v>
      </c>
      <c r="D128" s="84" t="s">
        <v>98</v>
      </c>
      <c r="E128" s="85" t="s">
        <v>69</v>
      </c>
      <c r="F128" s="85" t="str">
        <f t="shared" si="4"/>
        <v>인덕션(3구)48B</v>
      </c>
      <c r="G128" s="28">
        <v>400000</v>
      </c>
      <c r="H128" s="87">
        <f t="shared" si="3"/>
        <v>363636</v>
      </c>
      <c r="I128" s="87">
        <v>36364</v>
      </c>
      <c r="J128" s="88"/>
    </row>
    <row r="129" spans="2:10" ht="30" customHeight="1">
      <c r="B129" s="83"/>
      <c r="C129" s="84" t="s">
        <v>97</v>
      </c>
      <c r="D129" s="84" t="s">
        <v>98</v>
      </c>
      <c r="E129" s="85" t="s">
        <v>70</v>
      </c>
      <c r="F129" s="85" t="str">
        <f t="shared" si="4"/>
        <v>인덕션(3구)52B</v>
      </c>
      <c r="G129" s="28">
        <v>400000</v>
      </c>
      <c r="H129" s="87">
        <f t="shared" si="3"/>
        <v>363636</v>
      </c>
      <c r="I129" s="87">
        <v>36364</v>
      </c>
      <c r="J129" s="88"/>
    </row>
    <row r="130" spans="2:10" ht="30" customHeight="1">
      <c r="B130" s="83"/>
      <c r="C130" s="84" t="s">
        <v>97</v>
      </c>
      <c r="D130" s="84" t="s">
        <v>98</v>
      </c>
      <c r="E130" s="85" t="s">
        <v>14</v>
      </c>
      <c r="F130" s="85" t="str">
        <f t="shared" si="4"/>
        <v>인덕션(3구)55A</v>
      </c>
      <c r="G130" s="28">
        <v>400000</v>
      </c>
      <c r="H130" s="87">
        <f t="shared" si="3"/>
        <v>363636</v>
      </c>
      <c r="I130" s="87">
        <v>36364</v>
      </c>
      <c r="J130" s="88"/>
    </row>
    <row r="131" spans="2:10" ht="30" customHeight="1">
      <c r="B131" s="83"/>
      <c r="C131" s="84" t="s">
        <v>97</v>
      </c>
      <c r="D131" s="84" t="s">
        <v>98</v>
      </c>
      <c r="E131" s="85" t="s">
        <v>72</v>
      </c>
      <c r="F131" s="85" t="str">
        <f t="shared" si="4"/>
        <v>인덕션(3구)55B</v>
      </c>
      <c r="G131" s="28">
        <v>400000</v>
      </c>
      <c r="H131" s="87">
        <f t="shared" si="3"/>
        <v>363636</v>
      </c>
      <c r="I131" s="87">
        <v>36364</v>
      </c>
      <c r="J131" s="88"/>
    </row>
    <row r="132" spans="2:10" ht="30" customHeight="1">
      <c r="B132" s="83"/>
      <c r="C132" s="84" t="s">
        <v>97</v>
      </c>
      <c r="D132" s="84" t="s">
        <v>98</v>
      </c>
      <c r="E132" s="85" t="s">
        <v>16</v>
      </c>
      <c r="F132" s="85" t="str">
        <f t="shared" si="4"/>
        <v>인덕션(3구)59A</v>
      </c>
      <c r="G132" s="28">
        <v>400000</v>
      </c>
      <c r="H132" s="87">
        <f t="shared" si="3"/>
        <v>363636</v>
      </c>
      <c r="I132" s="87">
        <v>36364</v>
      </c>
      <c r="J132" s="88"/>
    </row>
    <row r="133" spans="2:10" ht="30" customHeight="1">
      <c r="B133" s="83"/>
      <c r="C133" s="84" t="s">
        <v>97</v>
      </c>
      <c r="D133" s="84" t="s">
        <v>98</v>
      </c>
      <c r="E133" s="85" t="s">
        <v>73</v>
      </c>
      <c r="F133" s="85" t="str">
        <f t="shared" si="4"/>
        <v>인덕션(3구)59B</v>
      </c>
      <c r="G133" s="28">
        <v>400000</v>
      </c>
      <c r="H133" s="87">
        <f t="shared" si="3"/>
        <v>363636</v>
      </c>
      <c r="I133" s="87">
        <v>36364</v>
      </c>
      <c r="J133" s="88"/>
    </row>
    <row r="134" spans="2:10" ht="30" customHeight="1">
      <c r="B134" s="83"/>
      <c r="C134" s="84" t="s">
        <v>97</v>
      </c>
      <c r="D134" s="84" t="s">
        <v>98</v>
      </c>
      <c r="E134" s="85" t="s">
        <v>6</v>
      </c>
      <c r="F134" s="85" t="str">
        <f t="shared" si="4"/>
        <v>인덕션(3구)59C</v>
      </c>
      <c r="G134" s="28">
        <v>400000</v>
      </c>
      <c r="H134" s="87">
        <f t="shared" ref="H134:H197" si="5">+TRUNC(G134/1.1,0)</f>
        <v>363636</v>
      </c>
      <c r="I134" s="87">
        <v>36364</v>
      </c>
      <c r="J134" s="88"/>
    </row>
    <row r="135" spans="2:10" ht="30" customHeight="1">
      <c r="B135" s="83"/>
      <c r="C135" s="84" t="s">
        <v>97</v>
      </c>
      <c r="D135" s="84" t="s">
        <v>98</v>
      </c>
      <c r="E135" s="85" t="s">
        <v>74</v>
      </c>
      <c r="F135" s="85" t="str">
        <f t="shared" si="4"/>
        <v>인덕션(3구)59D</v>
      </c>
      <c r="G135" s="28">
        <v>400000</v>
      </c>
      <c r="H135" s="87">
        <f t="shared" si="5"/>
        <v>363636</v>
      </c>
      <c r="I135" s="87">
        <v>36364</v>
      </c>
      <c r="J135" s="88"/>
    </row>
    <row r="136" spans="2:10" ht="30" customHeight="1">
      <c r="B136" s="83"/>
      <c r="C136" s="84" t="s">
        <v>97</v>
      </c>
      <c r="D136" s="84" t="s">
        <v>98</v>
      </c>
      <c r="E136" s="85" t="s">
        <v>75</v>
      </c>
      <c r="F136" s="85" t="str">
        <f t="shared" si="4"/>
        <v>인덕션(3구)59E</v>
      </c>
      <c r="G136" s="28">
        <v>400000</v>
      </c>
      <c r="H136" s="87">
        <f t="shared" si="5"/>
        <v>363636</v>
      </c>
      <c r="I136" s="87">
        <v>36364</v>
      </c>
      <c r="J136" s="88"/>
    </row>
    <row r="137" spans="2:10" ht="30" customHeight="1">
      <c r="B137" s="83"/>
      <c r="C137" s="84" t="s">
        <v>97</v>
      </c>
      <c r="D137" s="84" t="s">
        <v>98</v>
      </c>
      <c r="E137" s="85" t="s">
        <v>76</v>
      </c>
      <c r="F137" s="85" t="str">
        <f t="shared" si="4"/>
        <v>인덕션(3구)59F</v>
      </c>
      <c r="G137" s="28">
        <v>400000</v>
      </c>
      <c r="H137" s="87">
        <f t="shared" si="5"/>
        <v>363636</v>
      </c>
      <c r="I137" s="87">
        <v>36364</v>
      </c>
      <c r="J137" s="88"/>
    </row>
    <row r="138" spans="2:10" ht="30" customHeight="1">
      <c r="B138" s="83"/>
      <c r="C138" s="84" t="s">
        <v>97</v>
      </c>
      <c r="D138" s="84" t="s">
        <v>98</v>
      </c>
      <c r="E138" s="85" t="s">
        <v>63</v>
      </c>
      <c r="F138" s="85" t="str">
        <f t="shared" si="4"/>
        <v>인덕션(3구)65A</v>
      </c>
      <c r="G138" s="28">
        <v>400000</v>
      </c>
      <c r="H138" s="87">
        <f t="shared" si="5"/>
        <v>363636</v>
      </c>
      <c r="I138" s="87">
        <v>36364</v>
      </c>
      <c r="J138" s="88"/>
    </row>
    <row r="139" spans="2:10" ht="30" customHeight="1">
      <c r="B139" s="83"/>
      <c r="C139" s="84" t="s">
        <v>97</v>
      </c>
      <c r="D139" s="84" t="s">
        <v>98</v>
      </c>
      <c r="E139" s="85" t="s">
        <v>64</v>
      </c>
      <c r="F139" s="85" t="str">
        <f t="shared" si="4"/>
        <v>인덕션(3구)65B</v>
      </c>
      <c r="G139" s="28">
        <v>400000</v>
      </c>
      <c r="H139" s="87">
        <f t="shared" si="5"/>
        <v>363636</v>
      </c>
      <c r="I139" s="87">
        <v>36364</v>
      </c>
      <c r="J139" s="88"/>
    </row>
    <row r="140" spans="2:10" ht="30" customHeight="1">
      <c r="B140" s="83"/>
      <c r="C140" s="84" t="s">
        <v>97</v>
      </c>
      <c r="D140" s="84" t="s">
        <v>98</v>
      </c>
      <c r="E140" s="85">
        <v>68</v>
      </c>
      <c r="F140" s="85" t="str">
        <f t="shared" si="4"/>
        <v>인덕션(3구)68</v>
      </c>
      <c r="G140" s="28">
        <v>400000</v>
      </c>
      <c r="H140" s="87">
        <f t="shared" si="5"/>
        <v>363636</v>
      </c>
      <c r="I140" s="87">
        <v>36364</v>
      </c>
      <c r="J140" s="88"/>
    </row>
    <row r="141" spans="2:10" ht="30" customHeight="1">
      <c r="B141" s="83"/>
      <c r="C141" s="84" t="s">
        <v>97</v>
      </c>
      <c r="D141" s="84" t="s">
        <v>98</v>
      </c>
      <c r="E141" s="85">
        <v>79</v>
      </c>
      <c r="F141" s="85" t="str">
        <f t="shared" si="4"/>
        <v>인덕션(3구)79</v>
      </c>
      <c r="G141" s="28">
        <v>400000</v>
      </c>
      <c r="H141" s="87">
        <f t="shared" si="5"/>
        <v>363636</v>
      </c>
      <c r="I141" s="87">
        <v>36364</v>
      </c>
      <c r="J141" s="88"/>
    </row>
    <row r="142" spans="2:10" ht="30" customHeight="1">
      <c r="B142" s="83"/>
      <c r="C142" s="84" t="s">
        <v>97</v>
      </c>
      <c r="D142" s="84" t="s">
        <v>98</v>
      </c>
      <c r="E142" s="85">
        <v>84</v>
      </c>
      <c r="F142" s="85" t="str">
        <f t="shared" si="4"/>
        <v>인덕션(3구)84</v>
      </c>
      <c r="G142" s="32">
        <v>400000</v>
      </c>
      <c r="H142" s="87">
        <f t="shared" si="5"/>
        <v>363636</v>
      </c>
      <c r="I142" s="87">
        <v>36364</v>
      </c>
      <c r="J142" s="88"/>
    </row>
    <row r="143" spans="2:10" ht="30" customHeight="1">
      <c r="B143" s="89">
        <v>2</v>
      </c>
      <c r="C143" s="90" t="s">
        <v>36</v>
      </c>
      <c r="D143" s="90" t="s">
        <v>99</v>
      </c>
      <c r="E143" s="31" t="s">
        <v>78</v>
      </c>
      <c r="F143" s="31" t="str">
        <f t="shared" si="4"/>
        <v>빌트인오븐43</v>
      </c>
      <c r="G143" s="28">
        <v>500000</v>
      </c>
      <c r="H143" s="33">
        <f t="shared" si="5"/>
        <v>454545</v>
      </c>
      <c r="I143" s="33">
        <v>45455</v>
      </c>
      <c r="J143" s="34"/>
    </row>
    <row r="144" spans="2:10" ht="30" customHeight="1">
      <c r="B144" s="83"/>
      <c r="C144" s="84" t="s">
        <v>100</v>
      </c>
      <c r="D144" s="84" t="s">
        <v>101</v>
      </c>
      <c r="E144" s="85" t="s">
        <v>11</v>
      </c>
      <c r="F144" s="85" t="str">
        <f t="shared" si="4"/>
        <v>빌트인오븐52A</v>
      </c>
      <c r="G144" s="28">
        <v>500000</v>
      </c>
      <c r="H144" s="87">
        <f t="shared" si="5"/>
        <v>454545</v>
      </c>
      <c r="I144" s="87">
        <v>45455</v>
      </c>
      <c r="J144" s="88"/>
    </row>
    <row r="145" spans="2:10" ht="30" customHeight="1">
      <c r="B145" s="83"/>
      <c r="C145" s="84" t="s">
        <v>100</v>
      </c>
      <c r="D145" s="84" t="s">
        <v>101</v>
      </c>
      <c r="E145" s="85" t="s">
        <v>71</v>
      </c>
      <c r="F145" s="85" t="str">
        <f t="shared" si="4"/>
        <v>빌트인오븐52C</v>
      </c>
      <c r="G145" s="28">
        <v>500000</v>
      </c>
      <c r="H145" s="87">
        <f t="shared" si="5"/>
        <v>454545</v>
      </c>
      <c r="I145" s="87">
        <v>45455</v>
      </c>
      <c r="J145" s="88"/>
    </row>
    <row r="146" spans="2:10" ht="30" customHeight="1">
      <c r="B146" s="83"/>
      <c r="C146" s="84" t="s">
        <v>100</v>
      </c>
      <c r="D146" s="84" t="s">
        <v>101</v>
      </c>
      <c r="E146" s="85" t="s">
        <v>68</v>
      </c>
      <c r="F146" s="85" t="str">
        <f t="shared" si="4"/>
        <v>빌트인오븐48A</v>
      </c>
      <c r="G146" s="28">
        <v>500000</v>
      </c>
      <c r="H146" s="87">
        <f t="shared" si="5"/>
        <v>454545</v>
      </c>
      <c r="I146" s="87">
        <v>45455</v>
      </c>
      <c r="J146" s="88"/>
    </row>
    <row r="147" spans="2:10" ht="30" customHeight="1">
      <c r="B147" s="83"/>
      <c r="C147" s="84" t="s">
        <v>100</v>
      </c>
      <c r="D147" s="84" t="s">
        <v>101</v>
      </c>
      <c r="E147" s="85" t="s">
        <v>69</v>
      </c>
      <c r="F147" s="85" t="str">
        <f t="shared" si="4"/>
        <v>빌트인오븐48B</v>
      </c>
      <c r="G147" s="28">
        <v>500000</v>
      </c>
      <c r="H147" s="87">
        <f t="shared" si="5"/>
        <v>454545</v>
      </c>
      <c r="I147" s="87">
        <v>45455</v>
      </c>
      <c r="J147" s="88"/>
    </row>
    <row r="148" spans="2:10" ht="30" customHeight="1">
      <c r="B148" s="83"/>
      <c r="C148" s="84" t="s">
        <v>100</v>
      </c>
      <c r="D148" s="84" t="s">
        <v>101</v>
      </c>
      <c r="E148" s="85" t="s">
        <v>70</v>
      </c>
      <c r="F148" s="85" t="str">
        <f t="shared" ref="F148:F211" si="6">+C148&amp;E148</f>
        <v>빌트인오븐52B</v>
      </c>
      <c r="G148" s="28">
        <v>500000</v>
      </c>
      <c r="H148" s="87">
        <f t="shared" si="5"/>
        <v>454545</v>
      </c>
      <c r="I148" s="87">
        <v>45455</v>
      </c>
      <c r="J148" s="88"/>
    </row>
    <row r="149" spans="2:10" ht="30" customHeight="1">
      <c r="B149" s="83"/>
      <c r="C149" s="84" t="s">
        <v>100</v>
      </c>
      <c r="D149" s="84" t="s">
        <v>101</v>
      </c>
      <c r="E149" s="85" t="s">
        <v>14</v>
      </c>
      <c r="F149" s="85" t="str">
        <f t="shared" si="6"/>
        <v>빌트인오븐55A</v>
      </c>
      <c r="G149" s="28">
        <v>500000</v>
      </c>
      <c r="H149" s="87">
        <f t="shared" si="5"/>
        <v>454545</v>
      </c>
      <c r="I149" s="87">
        <v>45455</v>
      </c>
      <c r="J149" s="88"/>
    </row>
    <row r="150" spans="2:10" ht="30" customHeight="1">
      <c r="B150" s="83"/>
      <c r="C150" s="84" t="s">
        <v>100</v>
      </c>
      <c r="D150" s="84" t="s">
        <v>101</v>
      </c>
      <c r="E150" s="85" t="s">
        <v>72</v>
      </c>
      <c r="F150" s="85" t="str">
        <f t="shared" si="6"/>
        <v>빌트인오븐55B</v>
      </c>
      <c r="G150" s="28">
        <v>500000</v>
      </c>
      <c r="H150" s="87">
        <f t="shared" si="5"/>
        <v>454545</v>
      </c>
      <c r="I150" s="87">
        <v>45455</v>
      </c>
      <c r="J150" s="88"/>
    </row>
    <row r="151" spans="2:10" ht="30" customHeight="1">
      <c r="B151" s="83"/>
      <c r="C151" s="84" t="s">
        <v>100</v>
      </c>
      <c r="D151" s="84" t="s">
        <v>101</v>
      </c>
      <c r="E151" s="85" t="s">
        <v>16</v>
      </c>
      <c r="F151" s="85" t="str">
        <f t="shared" si="6"/>
        <v>빌트인오븐59A</v>
      </c>
      <c r="G151" s="28">
        <v>500000</v>
      </c>
      <c r="H151" s="87">
        <f t="shared" si="5"/>
        <v>454545</v>
      </c>
      <c r="I151" s="87">
        <v>45455</v>
      </c>
      <c r="J151" s="88"/>
    </row>
    <row r="152" spans="2:10" ht="30" customHeight="1">
      <c r="B152" s="83"/>
      <c r="C152" s="84" t="s">
        <v>100</v>
      </c>
      <c r="D152" s="84" t="s">
        <v>101</v>
      </c>
      <c r="E152" s="85" t="s">
        <v>73</v>
      </c>
      <c r="F152" s="85" t="str">
        <f t="shared" si="6"/>
        <v>빌트인오븐59B</v>
      </c>
      <c r="G152" s="28">
        <v>500000</v>
      </c>
      <c r="H152" s="87">
        <f t="shared" si="5"/>
        <v>454545</v>
      </c>
      <c r="I152" s="87">
        <v>45455</v>
      </c>
      <c r="J152" s="88"/>
    </row>
    <row r="153" spans="2:10" ht="30" customHeight="1">
      <c r="B153" s="83"/>
      <c r="C153" s="84" t="s">
        <v>100</v>
      </c>
      <c r="D153" s="84" t="s">
        <v>101</v>
      </c>
      <c r="E153" s="85" t="s">
        <v>6</v>
      </c>
      <c r="F153" s="85" t="str">
        <f t="shared" si="6"/>
        <v>빌트인오븐59C</v>
      </c>
      <c r="G153" s="28">
        <v>500000</v>
      </c>
      <c r="H153" s="87">
        <f t="shared" si="5"/>
        <v>454545</v>
      </c>
      <c r="I153" s="87">
        <v>45455</v>
      </c>
      <c r="J153" s="88"/>
    </row>
    <row r="154" spans="2:10" ht="30" customHeight="1">
      <c r="B154" s="83"/>
      <c r="C154" s="84" t="s">
        <v>100</v>
      </c>
      <c r="D154" s="84" t="s">
        <v>101</v>
      </c>
      <c r="E154" s="85" t="s">
        <v>74</v>
      </c>
      <c r="F154" s="85" t="str">
        <f t="shared" si="6"/>
        <v>빌트인오븐59D</v>
      </c>
      <c r="G154" s="28">
        <v>500000</v>
      </c>
      <c r="H154" s="87">
        <f t="shared" si="5"/>
        <v>454545</v>
      </c>
      <c r="I154" s="87">
        <v>45455</v>
      </c>
      <c r="J154" s="88"/>
    </row>
    <row r="155" spans="2:10" ht="30" customHeight="1">
      <c r="B155" s="83"/>
      <c r="C155" s="84" t="s">
        <v>100</v>
      </c>
      <c r="D155" s="84" t="s">
        <v>101</v>
      </c>
      <c r="E155" s="85" t="s">
        <v>75</v>
      </c>
      <c r="F155" s="85" t="str">
        <f t="shared" si="6"/>
        <v>빌트인오븐59E</v>
      </c>
      <c r="G155" s="28">
        <v>500000</v>
      </c>
      <c r="H155" s="87">
        <f t="shared" si="5"/>
        <v>454545</v>
      </c>
      <c r="I155" s="87">
        <v>45455</v>
      </c>
      <c r="J155" s="88"/>
    </row>
    <row r="156" spans="2:10" ht="30" customHeight="1">
      <c r="B156" s="83"/>
      <c r="C156" s="84" t="s">
        <v>100</v>
      </c>
      <c r="D156" s="84" t="s">
        <v>101</v>
      </c>
      <c r="E156" s="85" t="s">
        <v>76</v>
      </c>
      <c r="F156" s="85" t="str">
        <f t="shared" si="6"/>
        <v>빌트인오븐59F</v>
      </c>
      <c r="G156" s="28">
        <v>500000</v>
      </c>
      <c r="H156" s="87">
        <f t="shared" si="5"/>
        <v>454545</v>
      </c>
      <c r="I156" s="87">
        <v>45455</v>
      </c>
      <c r="J156" s="88"/>
    </row>
    <row r="157" spans="2:10" ht="30" customHeight="1">
      <c r="B157" s="83"/>
      <c r="C157" s="84" t="s">
        <v>100</v>
      </c>
      <c r="D157" s="84" t="s">
        <v>101</v>
      </c>
      <c r="E157" s="85" t="s">
        <v>63</v>
      </c>
      <c r="F157" s="85" t="str">
        <f t="shared" si="6"/>
        <v>빌트인오븐65A</v>
      </c>
      <c r="G157" s="28">
        <v>500000</v>
      </c>
      <c r="H157" s="87">
        <f t="shared" si="5"/>
        <v>454545</v>
      </c>
      <c r="I157" s="87">
        <v>45455</v>
      </c>
      <c r="J157" s="88"/>
    </row>
    <row r="158" spans="2:10" ht="30" customHeight="1">
      <c r="B158" s="83"/>
      <c r="C158" s="84" t="s">
        <v>100</v>
      </c>
      <c r="D158" s="84" t="s">
        <v>101</v>
      </c>
      <c r="E158" s="85" t="s">
        <v>64</v>
      </c>
      <c r="F158" s="85" t="str">
        <f t="shared" si="6"/>
        <v>빌트인오븐65B</v>
      </c>
      <c r="G158" s="28">
        <v>500000</v>
      </c>
      <c r="H158" s="87">
        <f t="shared" si="5"/>
        <v>454545</v>
      </c>
      <c r="I158" s="87">
        <v>45455</v>
      </c>
      <c r="J158" s="88"/>
    </row>
    <row r="159" spans="2:10" ht="30" customHeight="1">
      <c r="B159" s="83"/>
      <c r="C159" s="84" t="s">
        <v>100</v>
      </c>
      <c r="D159" s="84" t="s">
        <v>101</v>
      </c>
      <c r="E159" s="85">
        <v>68</v>
      </c>
      <c r="F159" s="85" t="str">
        <f t="shared" si="6"/>
        <v>빌트인오븐68</v>
      </c>
      <c r="G159" s="28">
        <v>500000</v>
      </c>
      <c r="H159" s="87">
        <f t="shared" si="5"/>
        <v>454545</v>
      </c>
      <c r="I159" s="87">
        <v>45455</v>
      </c>
      <c r="J159" s="88"/>
    </row>
    <row r="160" spans="2:10" ht="30" customHeight="1">
      <c r="B160" s="83"/>
      <c r="C160" s="84" t="s">
        <v>100</v>
      </c>
      <c r="D160" s="84" t="s">
        <v>101</v>
      </c>
      <c r="E160" s="85">
        <v>79</v>
      </c>
      <c r="F160" s="85" t="str">
        <f t="shared" si="6"/>
        <v>빌트인오븐79</v>
      </c>
      <c r="G160" s="28">
        <v>500000</v>
      </c>
      <c r="H160" s="87">
        <f t="shared" si="5"/>
        <v>454545</v>
      </c>
      <c r="I160" s="87">
        <v>45455</v>
      </c>
      <c r="J160" s="88"/>
    </row>
    <row r="161" spans="2:10" ht="30" customHeight="1">
      <c r="B161" s="83"/>
      <c r="C161" s="84" t="s">
        <v>100</v>
      </c>
      <c r="D161" s="84" t="s">
        <v>101</v>
      </c>
      <c r="E161" s="85">
        <v>84</v>
      </c>
      <c r="F161" s="85" t="str">
        <f t="shared" si="6"/>
        <v>빌트인오븐84</v>
      </c>
      <c r="G161" s="32">
        <v>500000</v>
      </c>
      <c r="H161" s="87">
        <f t="shared" si="5"/>
        <v>454545</v>
      </c>
      <c r="I161" s="87">
        <v>45455</v>
      </c>
      <c r="J161" s="88"/>
    </row>
    <row r="162" spans="2:10" ht="30" customHeight="1">
      <c r="B162" s="89">
        <v>3</v>
      </c>
      <c r="C162" s="90" t="s">
        <v>37</v>
      </c>
      <c r="D162" s="90" t="s">
        <v>102</v>
      </c>
      <c r="E162" s="31" t="s">
        <v>78</v>
      </c>
      <c r="F162" s="31" t="str">
        <f t="shared" si="6"/>
        <v>식기세척기43</v>
      </c>
      <c r="G162" s="28">
        <v>1200000</v>
      </c>
      <c r="H162" s="33">
        <f t="shared" si="5"/>
        <v>1090909</v>
      </c>
      <c r="I162" s="33">
        <v>109091</v>
      </c>
      <c r="J162" s="34"/>
    </row>
    <row r="163" spans="2:10" ht="30" customHeight="1">
      <c r="B163" s="83"/>
      <c r="C163" s="84" t="s">
        <v>103</v>
      </c>
      <c r="D163" s="84" t="s">
        <v>104</v>
      </c>
      <c r="E163" s="85" t="s">
        <v>11</v>
      </c>
      <c r="F163" s="85" t="str">
        <f t="shared" si="6"/>
        <v>식기세척기52A</v>
      </c>
      <c r="G163" s="28">
        <v>1200000</v>
      </c>
      <c r="H163" s="87">
        <f t="shared" si="5"/>
        <v>1090909</v>
      </c>
      <c r="I163" s="87">
        <v>109091</v>
      </c>
      <c r="J163" s="88"/>
    </row>
    <row r="164" spans="2:10" ht="30" customHeight="1">
      <c r="B164" s="83"/>
      <c r="C164" s="84" t="s">
        <v>103</v>
      </c>
      <c r="D164" s="84" t="s">
        <v>104</v>
      </c>
      <c r="E164" s="85" t="s">
        <v>71</v>
      </c>
      <c r="F164" s="85" t="str">
        <f t="shared" si="6"/>
        <v>식기세척기52C</v>
      </c>
      <c r="G164" s="28">
        <v>1200000</v>
      </c>
      <c r="H164" s="87">
        <f t="shared" si="5"/>
        <v>1090909</v>
      </c>
      <c r="I164" s="87">
        <v>109091</v>
      </c>
      <c r="J164" s="88"/>
    </row>
    <row r="165" spans="2:10" ht="30" customHeight="1">
      <c r="B165" s="83"/>
      <c r="C165" s="84" t="s">
        <v>103</v>
      </c>
      <c r="D165" s="84" t="s">
        <v>104</v>
      </c>
      <c r="E165" s="85" t="s">
        <v>68</v>
      </c>
      <c r="F165" s="85" t="str">
        <f t="shared" si="6"/>
        <v>식기세척기48A</v>
      </c>
      <c r="G165" s="28">
        <v>1200000</v>
      </c>
      <c r="H165" s="87">
        <f t="shared" si="5"/>
        <v>1090909</v>
      </c>
      <c r="I165" s="87">
        <v>109091</v>
      </c>
      <c r="J165" s="88"/>
    </row>
    <row r="166" spans="2:10" ht="30" customHeight="1">
      <c r="B166" s="83"/>
      <c r="C166" s="84" t="s">
        <v>103</v>
      </c>
      <c r="D166" s="84" t="s">
        <v>104</v>
      </c>
      <c r="E166" s="85" t="s">
        <v>69</v>
      </c>
      <c r="F166" s="85" t="str">
        <f t="shared" si="6"/>
        <v>식기세척기48B</v>
      </c>
      <c r="G166" s="28">
        <v>1200000</v>
      </c>
      <c r="H166" s="87">
        <f t="shared" si="5"/>
        <v>1090909</v>
      </c>
      <c r="I166" s="87">
        <v>109091</v>
      </c>
      <c r="J166" s="88"/>
    </row>
    <row r="167" spans="2:10" ht="30" customHeight="1">
      <c r="B167" s="83"/>
      <c r="C167" s="84" t="s">
        <v>103</v>
      </c>
      <c r="D167" s="84" t="s">
        <v>104</v>
      </c>
      <c r="E167" s="85" t="s">
        <v>70</v>
      </c>
      <c r="F167" s="85" t="str">
        <f t="shared" si="6"/>
        <v>식기세척기52B</v>
      </c>
      <c r="G167" s="28">
        <v>1200000</v>
      </c>
      <c r="H167" s="87">
        <f t="shared" si="5"/>
        <v>1090909</v>
      </c>
      <c r="I167" s="87">
        <v>109091</v>
      </c>
      <c r="J167" s="88"/>
    </row>
    <row r="168" spans="2:10" ht="30" customHeight="1">
      <c r="B168" s="83"/>
      <c r="C168" s="84" t="s">
        <v>103</v>
      </c>
      <c r="D168" s="84" t="s">
        <v>104</v>
      </c>
      <c r="E168" s="85" t="s">
        <v>14</v>
      </c>
      <c r="F168" s="85" t="str">
        <f t="shared" si="6"/>
        <v>식기세척기55A</v>
      </c>
      <c r="G168" s="28">
        <v>1200000</v>
      </c>
      <c r="H168" s="87">
        <f t="shared" si="5"/>
        <v>1090909</v>
      </c>
      <c r="I168" s="87">
        <v>109091</v>
      </c>
      <c r="J168" s="88"/>
    </row>
    <row r="169" spans="2:10" ht="30" customHeight="1">
      <c r="B169" s="83"/>
      <c r="C169" s="84" t="s">
        <v>103</v>
      </c>
      <c r="D169" s="84" t="s">
        <v>104</v>
      </c>
      <c r="E169" s="85" t="s">
        <v>72</v>
      </c>
      <c r="F169" s="85" t="str">
        <f t="shared" si="6"/>
        <v>식기세척기55B</v>
      </c>
      <c r="G169" s="28">
        <v>1200000</v>
      </c>
      <c r="H169" s="87">
        <f t="shared" si="5"/>
        <v>1090909</v>
      </c>
      <c r="I169" s="87">
        <v>109091</v>
      </c>
      <c r="J169" s="88"/>
    </row>
    <row r="170" spans="2:10" ht="30" customHeight="1">
      <c r="B170" s="83"/>
      <c r="C170" s="84" t="s">
        <v>103</v>
      </c>
      <c r="D170" s="84" t="s">
        <v>104</v>
      </c>
      <c r="E170" s="85" t="s">
        <v>16</v>
      </c>
      <c r="F170" s="85" t="str">
        <f t="shared" si="6"/>
        <v>식기세척기59A</v>
      </c>
      <c r="G170" s="28">
        <v>1200000</v>
      </c>
      <c r="H170" s="87">
        <f t="shared" si="5"/>
        <v>1090909</v>
      </c>
      <c r="I170" s="87">
        <v>109091</v>
      </c>
      <c r="J170" s="88"/>
    </row>
    <row r="171" spans="2:10" ht="30" customHeight="1">
      <c r="B171" s="83"/>
      <c r="C171" s="84" t="s">
        <v>103</v>
      </c>
      <c r="D171" s="84" t="s">
        <v>104</v>
      </c>
      <c r="E171" s="85" t="s">
        <v>73</v>
      </c>
      <c r="F171" s="85" t="str">
        <f t="shared" si="6"/>
        <v>식기세척기59B</v>
      </c>
      <c r="G171" s="28">
        <v>1200000</v>
      </c>
      <c r="H171" s="87">
        <f t="shared" si="5"/>
        <v>1090909</v>
      </c>
      <c r="I171" s="87">
        <v>109091</v>
      </c>
      <c r="J171" s="88"/>
    </row>
    <row r="172" spans="2:10" ht="30" customHeight="1">
      <c r="B172" s="83"/>
      <c r="C172" s="84" t="s">
        <v>103</v>
      </c>
      <c r="D172" s="84" t="s">
        <v>104</v>
      </c>
      <c r="E172" s="85" t="s">
        <v>6</v>
      </c>
      <c r="F172" s="85" t="str">
        <f t="shared" si="6"/>
        <v>식기세척기59C</v>
      </c>
      <c r="G172" s="28">
        <v>1200000</v>
      </c>
      <c r="H172" s="87">
        <f t="shared" si="5"/>
        <v>1090909</v>
      </c>
      <c r="I172" s="87">
        <v>109091</v>
      </c>
      <c r="J172" s="88"/>
    </row>
    <row r="173" spans="2:10" ht="30" customHeight="1">
      <c r="B173" s="83"/>
      <c r="C173" s="84" t="s">
        <v>103</v>
      </c>
      <c r="D173" s="84" t="s">
        <v>104</v>
      </c>
      <c r="E173" s="85" t="s">
        <v>74</v>
      </c>
      <c r="F173" s="85" t="str">
        <f t="shared" si="6"/>
        <v>식기세척기59D</v>
      </c>
      <c r="G173" s="28">
        <v>1200000</v>
      </c>
      <c r="H173" s="87">
        <f t="shared" si="5"/>
        <v>1090909</v>
      </c>
      <c r="I173" s="87">
        <v>109091</v>
      </c>
      <c r="J173" s="88"/>
    </row>
    <row r="174" spans="2:10" ht="30" customHeight="1">
      <c r="B174" s="83"/>
      <c r="C174" s="84" t="s">
        <v>103</v>
      </c>
      <c r="D174" s="84" t="s">
        <v>104</v>
      </c>
      <c r="E174" s="85" t="s">
        <v>75</v>
      </c>
      <c r="F174" s="85" t="str">
        <f t="shared" si="6"/>
        <v>식기세척기59E</v>
      </c>
      <c r="G174" s="28">
        <v>1200000</v>
      </c>
      <c r="H174" s="87">
        <f t="shared" si="5"/>
        <v>1090909</v>
      </c>
      <c r="I174" s="87">
        <v>109091</v>
      </c>
      <c r="J174" s="88"/>
    </row>
    <row r="175" spans="2:10" ht="30" customHeight="1">
      <c r="B175" s="83"/>
      <c r="C175" s="84" t="s">
        <v>103</v>
      </c>
      <c r="D175" s="84" t="s">
        <v>104</v>
      </c>
      <c r="E175" s="85" t="s">
        <v>76</v>
      </c>
      <c r="F175" s="85" t="str">
        <f t="shared" si="6"/>
        <v>식기세척기59F</v>
      </c>
      <c r="G175" s="28">
        <v>1200000</v>
      </c>
      <c r="H175" s="87">
        <f t="shared" si="5"/>
        <v>1090909</v>
      </c>
      <c r="I175" s="87">
        <v>109091</v>
      </c>
      <c r="J175" s="88"/>
    </row>
    <row r="176" spans="2:10" ht="30" customHeight="1">
      <c r="B176" s="83"/>
      <c r="C176" s="84" t="s">
        <v>103</v>
      </c>
      <c r="D176" s="84" t="s">
        <v>104</v>
      </c>
      <c r="E176" s="85" t="s">
        <v>63</v>
      </c>
      <c r="F176" s="85" t="str">
        <f t="shared" si="6"/>
        <v>식기세척기65A</v>
      </c>
      <c r="G176" s="28">
        <v>1200000</v>
      </c>
      <c r="H176" s="87">
        <f t="shared" si="5"/>
        <v>1090909</v>
      </c>
      <c r="I176" s="87">
        <v>109091</v>
      </c>
      <c r="J176" s="88"/>
    </row>
    <row r="177" spans="2:10" ht="30" customHeight="1">
      <c r="B177" s="83"/>
      <c r="C177" s="84" t="s">
        <v>103</v>
      </c>
      <c r="D177" s="84" t="s">
        <v>104</v>
      </c>
      <c r="E177" s="85" t="s">
        <v>64</v>
      </c>
      <c r="F177" s="85" t="str">
        <f t="shared" si="6"/>
        <v>식기세척기65B</v>
      </c>
      <c r="G177" s="28">
        <v>1200000</v>
      </c>
      <c r="H177" s="87">
        <f t="shared" si="5"/>
        <v>1090909</v>
      </c>
      <c r="I177" s="87">
        <v>109091</v>
      </c>
      <c r="J177" s="88"/>
    </row>
    <row r="178" spans="2:10" ht="30" customHeight="1">
      <c r="B178" s="83"/>
      <c r="C178" s="84" t="s">
        <v>103</v>
      </c>
      <c r="D178" s="84" t="s">
        <v>104</v>
      </c>
      <c r="E178" s="85">
        <v>68</v>
      </c>
      <c r="F178" s="85" t="str">
        <f t="shared" si="6"/>
        <v>식기세척기68</v>
      </c>
      <c r="G178" s="28">
        <v>1200000</v>
      </c>
      <c r="H178" s="87">
        <f t="shared" si="5"/>
        <v>1090909</v>
      </c>
      <c r="I178" s="87">
        <v>109091</v>
      </c>
      <c r="J178" s="88"/>
    </row>
    <row r="179" spans="2:10" ht="30" customHeight="1">
      <c r="B179" s="83"/>
      <c r="C179" s="84" t="s">
        <v>103</v>
      </c>
      <c r="D179" s="84" t="s">
        <v>104</v>
      </c>
      <c r="E179" s="85">
        <v>79</v>
      </c>
      <c r="F179" s="85" t="str">
        <f t="shared" si="6"/>
        <v>식기세척기79</v>
      </c>
      <c r="G179" s="28">
        <v>1200000</v>
      </c>
      <c r="H179" s="87">
        <f t="shared" si="5"/>
        <v>1090909</v>
      </c>
      <c r="I179" s="87">
        <v>109091</v>
      </c>
      <c r="J179" s="88"/>
    </row>
    <row r="180" spans="2:10" ht="30" customHeight="1">
      <c r="B180" s="83"/>
      <c r="C180" s="84" t="s">
        <v>103</v>
      </c>
      <c r="D180" s="84" t="s">
        <v>104</v>
      </c>
      <c r="E180" s="85">
        <v>84</v>
      </c>
      <c r="F180" s="85" t="str">
        <f t="shared" si="6"/>
        <v>식기세척기84</v>
      </c>
      <c r="G180" s="32">
        <v>1200000</v>
      </c>
      <c r="H180" s="87">
        <f t="shared" si="5"/>
        <v>1090909</v>
      </c>
      <c r="I180" s="87">
        <v>109091</v>
      </c>
      <c r="J180" s="88"/>
    </row>
    <row r="181" spans="2:10" ht="55.5" customHeight="1">
      <c r="B181" s="89">
        <v>4</v>
      </c>
      <c r="C181" s="90" t="s">
        <v>38</v>
      </c>
      <c r="D181" s="90" t="s">
        <v>105</v>
      </c>
      <c r="E181" s="31" t="s">
        <v>78</v>
      </c>
      <c r="F181" s="31" t="str">
        <f t="shared" si="6"/>
        <v>냉장고패키지43</v>
      </c>
      <c r="G181" s="28">
        <v>7300000</v>
      </c>
      <c r="H181" s="33">
        <f t="shared" si="5"/>
        <v>6636363</v>
      </c>
      <c r="I181" s="33">
        <v>663637</v>
      </c>
      <c r="J181" s="34"/>
    </row>
    <row r="182" spans="2:10" ht="55.5" customHeight="1">
      <c r="B182" s="83"/>
      <c r="C182" s="84" t="s">
        <v>106</v>
      </c>
      <c r="D182" s="84" t="s">
        <v>107</v>
      </c>
      <c r="E182" s="85" t="s">
        <v>11</v>
      </c>
      <c r="F182" s="85" t="str">
        <f t="shared" si="6"/>
        <v>냉장고패키지52A</v>
      </c>
      <c r="G182" s="28">
        <v>7300000</v>
      </c>
      <c r="H182" s="87">
        <f t="shared" si="5"/>
        <v>6636363</v>
      </c>
      <c r="I182" s="87">
        <v>663637</v>
      </c>
      <c r="J182" s="88"/>
    </row>
    <row r="183" spans="2:10" ht="55.5" customHeight="1">
      <c r="B183" s="83"/>
      <c r="C183" s="84" t="s">
        <v>106</v>
      </c>
      <c r="D183" s="84" t="s">
        <v>107</v>
      </c>
      <c r="E183" s="85" t="s">
        <v>71</v>
      </c>
      <c r="F183" s="85" t="str">
        <f t="shared" si="6"/>
        <v>냉장고패키지52C</v>
      </c>
      <c r="G183" s="28">
        <v>7300000</v>
      </c>
      <c r="H183" s="87">
        <f t="shared" si="5"/>
        <v>6636363</v>
      </c>
      <c r="I183" s="87">
        <v>663637</v>
      </c>
      <c r="J183" s="88"/>
    </row>
    <row r="184" spans="2:10" ht="55.5" customHeight="1">
      <c r="B184" s="83"/>
      <c r="C184" s="84" t="s">
        <v>106</v>
      </c>
      <c r="D184" s="84" t="s">
        <v>107</v>
      </c>
      <c r="E184" s="85" t="s">
        <v>68</v>
      </c>
      <c r="F184" s="85" t="str">
        <f t="shared" si="6"/>
        <v>냉장고패키지48A</v>
      </c>
      <c r="G184" s="28">
        <v>7300000</v>
      </c>
      <c r="H184" s="87">
        <f t="shared" si="5"/>
        <v>6636363</v>
      </c>
      <c r="I184" s="87">
        <v>663637</v>
      </c>
      <c r="J184" s="88"/>
    </row>
    <row r="185" spans="2:10" ht="55.5" customHeight="1">
      <c r="B185" s="83"/>
      <c r="C185" s="84" t="s">
        <v>106</v>
      </c>
      <c r="D185" s="84" t="s">
        <v>107</v>
      </c>
      <c r="E185" s="85" t="s">
        <v>69</v>
      </c>
      <c r="F185" s="85" t="str">
        <f t="shared" si="6"/>
        <v>냉장고패키지48B</v>
      </c>
      <c r="G185" s="28">
        <v>7300000</v>
      </c>
      <c r="H185" s="87">
        <f t="shared" si="5"/>
        <v>6636363</v>
      </c>
      <c r="I185" s="87">
        <v>663637</v>
      </c>
      <c r="J185" s="88"/>
    </row>
    <row r="186" spans="2:10" ht="55.5" customHeight="1">
      <c r="B186" s="83"/>
      <c r="C186" s="84" t="s">
        <v>106</v>
      </c>
      <c r="D186" s="84" t="s">
        <v>107</v>
      </c>
      <c r="E186" s="85" t="s">
        <v>70</v>
      </c>
      <c r="F186" s="85" t="str">
        <f t="shared" si="6"/>
        <v>냉장고패키지52B</v>
      </c>
      <c r="G186" s="28">
        <v>7300000</v>
      </c>
      <c r="H186" s="87">
        <f t="shared" si="5"/>
        <v>6636363</v>
      </c>
      <c r="I186" s="87">
        <v>663637</v>
      </c>
      <c r="J186" s="88"/>
    </row>
    <row r="187" spans="2:10" ht="55.5" customHeight="1">
      <c r="B187" s="83"/>
      <c r="C187" s="84" t="s">
        <v>106</v>
      </c>
      <c r="D187" s="84" t="s">
        <v>107</v>
      </c>
      <c r="E187" s="85" t="s">
        <v>14</v>
      </c>
      <c r="F187" s="85" t="str">
        <f t="shared" si="6"/>
        <v>냉장고패키지55A</v>
      </c>
      <c r="G187" s="28">
        <v>7300000</v>
      </c>
      <c r="H187" s="87">
        <f t="shared" si="5"/>
        <v>6636363</v>
      </c>
      <c r="I187" s="87">
        <v>663637</v>
      </c>
      <c r="J187" s="88"/>
    </row>
    <row r="188" spans="2:10" ht="55.5" customHeight="1">
      <c r="B188" s="83"/>
      <c r="C188" s="84" t="s">
        <v>106</v>
      </c>
      <c r="D188" s="84" t="s">
        <v>107</v>
      </c>
      <c r="E188" s="85" t="s">
        <v>72</v>
      </c>
      <c r="F188" s="85" t="str">
        <f t="shared" si="6"/>
        <v>냉장고패키지55B</v>
      </c>
      <c r="G188" s="28">
        <v>7300000</v>
      </c>
      <c r="H188" s="87">
        <f t="shared" si="5"/>
        <v>6636363</v>
      </c>
      <c r="I188" s="87">
        <v>663637</v>
      </c>
      <c r="J188" s="88"/>
    </row>
    <row r="189" spans="2:10" ht="55.5" customHeight="1">
      <c r="B189" s="83"/>
      <c r="C189" s="84" t="s">
        <v>106</v>
      </c>
      <c r="D189" s="84" t="s">
        <v>107</v>
      </c>
      <c r="E189" s="85" t="s">
        <v>16</v>
      </c>
      <c r="F189" s="85" t="str">
        <f t="shared" si="6"/>
        <v>냉장고패키지59A</v>
      </c>
      <c r="G189" s="28">
        <v>7300000</v>
      </c>
      <c r="H189" s="87">
        <f t="shared" si="5"/>
        <v>6636363</v>
      </c>
      <c r="I189" s="87">
        <v>663637</v>
      </c>
      <c r="J189" s="88"/>
    </row>
    <row r="190" spans="2:10" ht="55.5" customHeight="1">
      <c r="B190" s="83"/>
      <c r="C190" s="84" t="s">
        <v>106</v>
      </c>
      <c r="D190" s="84" t="s">
        <v>107</v>
      </c>
      <c r="E190" s="85" t="s">
        <v>73</v>
      </c>
      <c r="F190" s="85" t="str">
        <f t="shared" si="6"/>
        <v>냉장고패키지59B</v>
      </c>
      <c r="G190" s="28">
        <v>7300000</v>
      </c>
      <c r="H190" s="87">
        <f t="shared" si="5"/>
        <v>6636363</v>
      </c>
      <c r="I190" s="87">
        <v>663637</v>
      </c>
      <c r="J190" s="88"/>
    </row>
    <row r="191" spans="2:10" ht="55.5" customHeight="1">
      <c r="B191" s="83"/>
      <c r="C191" s="84" t="s">
        <v>106</v>
      </c>
      <c r="D191" s="84" t="s">
        <v>107</v>
      </c>
      <c r="E191" s="85" t="s">
        <v>6</v>
      </c>
      <c r="F191" s="85" t="str">
        <f t="shared" si="6"/>
        <v>냉장고패키지59C</v>
      </c>
      <c r="G191" s="28">
        <v>7300000</v>
      </c>
      <c r="H191" s="87">
        <f t="shared" si="5"/>
        <v>6636363</v>
      </c>
      <c r="I191" s="87">
        <v>663637</v>
      </c>
      <c r="J191" s="88"/>
    </row>
    <row r="192" spans="2:10" ht="55.5" customHeight="1">
      <c r="B192" s="83"/>
      <c r="C192" s="84" t="s">
        <v>106</v>
      </c>
      <c r="D192" s="84" t="s">
        <v>107</v>
      </c>
      <c r="E192" s="85" t="s">
        <v>74</v>
      </c>
      <c r="F192" s="85" t="str">
        <f t="shared" si="6"/>
        <v>냉장고패키지59D</v>
      </c>
      <c r="G192" s="28">
        <v>7300000</v>
      </c>
      <c r="H192" s="87">
        <f t="shared" si="5"/>
        <v>6636363</v>
      </c>
      <c r="I192" s="87">
        <v>663637</v>
      </c>
      <c r="J192" s="88"/>
    </row>
    <row r="193" spans="2:11" ht="55.5" customHeight="1">
      <c r="B193" s="83"/>
      <c r="C193" s="84" t="s">
        <v>106</v>
      </c>
      <c r="D193" s="84" t="s">
        <v>107</v>
      </c>
      <c r="E193" s="85" t="s">
        <v>75</v>
      </c>
      <c r="F193" s="85" t="str">
        <f t="shared" si="6"/>
        <v>냉장고패키지59E</v>
      </c>
      <c r="G193" s="28">
        <v>7300000</v>
      </c>
      <c r="H193" s="87">
        <f t="shared" si="5"/>
        <v>6636363</v>
      </c>
      <c r="I193" s="87">
        <v>663637</v>
      </c>
      <c r="J193" s="88"/>
    </row>
    <row r="194" spans="2:11" ht="55.5" customHeight="1">
      <c r="B194" s="83"/>
      <c r="C194" s="84" t="s">
        <v>106</v>
      </c>
      <c r="D194" s="84" t="s">
        <v>107</v>
      </c>
      <c r="E194" s="85" t="s">
        <v>76</v>
      </c>
      <c r="F194" s="85" t="str">
        <f t="shared" si="6"/>
        <v>냉장고패키지59F</v>
      </c>
      <c r="G194" s="28">
        <v>7300000</v>
      </c>
      <c r="H194" s="87">
        <f t="shared" si="5"/>
        <v>6636363</v>
      </c>
      <c r="I194" s="87">
        <v>663637</v>
      </c>
      <c r="J194" s="88"/>
    </row>
    <row r="195" spans="2:11" ht="55.5" customHeight="1">
      <c r="B195" s="83"/>
      <c r="C195" s="84" t="s">
        <v>106</v>
      </c>
      <c r="D195" s="84" t="s">
        <v>107</v>
      </c>
      <c r="E195" s="85" t="s">
        <v>63</v>
      </c>
      <c r="F195" s="85" t="str">
        <f t="shared" si="6"/>
        <v>냉장고패키지65A</v>
      </c>
      <c r="G195" s="28">
        <v>7300000</v>
      </c>
      <c r="H195" s="87">
        <f t="shared" si="5"/>
        <v>6636363</v>
      </c>
      <c r="I195" s="87">
        <v>663637</v>
      </c>
      <c r="J195" s="88"/>
    </row>
    <row r="196" spans="2:11" ht="55.5" customHeight="1">
      <c r="B196" s="83"/>
      <c r="C196" s="84" t="s">
        <v>106</v>
      </c>
      <c r="D196" s="84" t="s">
        <v>107</v>
      </c>
      <c r="E196" s="85" t="s">
        <v>64</v>
      </c>
      <c r="F196" s="85" t="str">
        <f t="shared" si="6"/>
        <v>냉장고패키지65B</v>
      </c>
      <c r="G196" s="28">
        <v>7300000</v>
      </c>
      <c r="H196" s="87">
        <f t="shared" si="5"/>
        <v>6636363</v>
      </c>
      <c r="I196" s="87">
        <v>663637</v>
      </c>
      <c r="J196" s="88"/>
    </row>
    <row r="197" spans="2:11" ht="55.5" customHeight="1">
      <c r="B197" s="83"/>
      <c r="C197" s="84" t="s">
        <v>106</v>
      </c>
      <c r="D197" s="84" t="s">
        <v>107</v>
      </c>
      <c r="E197" s="85">
        <v>68</v>
      </c>
      <c r="F197" s="85" t="str">
        <f t="shared" si="6"/>
        <v>냉장고패키지68</v>
      </c>
      <c r="G197" s="28">
        <v>7300000</v>
      </c>
      <c r="H197" s="87">
        <f t="shared" si="5"/>
        <v>6636363</v>
      </c>
      <c r="I197" s="87">
        <v>663637</v>
      </c>
      <c r="J197" s="88"/>
    </row>
    <row r="198" spans="2:11" ht="55.5" customHeight="1">
      <c r="B198" s="83"/>
      <c r="C198" s="84" t="s">
        <v>106</v>
      </c>
      <c r="D198" s="84" t="s">
        <v>107</v>
      </c>
      <c r="E198" s="85">
        <v>79</v>
      </c>
      <c r="F198" s="85" t="str">
        <f t="shared" si="6"/>
        <v>냉장고패키지79</v>
      </c>
      <c r="G198" s="28">
        <v>7300000</v>
      </c>
      <c r="H198" s="87">
        <f t="shared" ref="H198:H299" si="7">+TRUNC(G198/1.1,0)</f>
        <v>6636363</v>
      </c>
      <c r="I198" s="87">
        <v>663637</v>
      </c>
      <c r="J198" s="88"/>
    </row>
    <row r="199" spans="2:11" ht="55.5" customHeight="1">
      <c r="B199" s="83"/>
      <c r="C199" s="84" t="s">
        <v>106</v>
      </c>
      <c r="D199" s="84" t="s">
        <v>107</v>
      </c>
      <c r="E199" s="85">
        <v>84</v>
      </c>
      <c r="F199" s="85" t="str">
        <f t="shared" si="6"/>
        <v>냉장고패키지84</v>
      </c>
      <c r="G199" s="32">
        <v>7300000</v>
      </c>
      <c r="H199" s="87">
        <f t="shared" si="7"/>
        <v>6636363</v>
      </c>
      <c r="I199" s="87">
        <v>663637</v>
      </c>
      <c r="J199" s="88"/>
    </row>
    <row r="200" spans="2:11" ht="30" customHeight="1">
      <c r="B200" s="91">
        <v>5</v>
      </c>
      <c r="C200" s="92" t="s">
        <v>39</v>
      </c>
      <c r="D200" s="92" t="s">
        <v>108</v>
      </c>
      <c r="E200" s="50" t="s">
        <v>60</v>
      </c>
      <c r="F200" s="50" t="str">
        <f t="shared" si="6"/>
        <v>시스템에어컨43</v>
      </c>
      <c r="G200" s="28">
        <v>4700000</v>
      </c>
      <c r="H200" s="29">
        <f t="shared" si="7"/>
        <v>4272727</v>
      </c>
      <c r="I200" s="29">
        <v>427273</v>
      </c>
      <c r="J200" s="30"/>
      <c r="K200" s="53"/>
    </row>
    <row r="201" spans="2:11" ht="30" customHeight="1">
      <c r="B201" s="24"/>
      <c r="C201" s="25" t="s">
        <v>109</v>
      </c>
      <c r="D201" s="25" t="s">
        <v>110</v>
      </c>
      <c r="E201" s="20" t="s">
        <v>10</v>
      </c>
      <c r="F201" s="20" t="str">
        <f t="shared" si="6"/>
        <v>시스템에어컨52A</v>
      </c>
      <c r="G201" s="21">
        <v>4700000</v>
      </c>
      <c r="H201" s="22">
        <f t="shared" si="7"/>
        <v>4272727</v>
      </c>
      <c r="I201" s="22">
        <v>427273</v>
      </c>
      <c r="J201" s="23"/>
    </row>
    <row r="202" spans="2:11" ht="30" customHeight="1">
      <c r="B202" s="24"/>
      <c r="C202" s="25" t="s">
        <v>109</v>
      </c>
      <c r="D202" s="25" t="s">
        <v>110</v>
      </c>
      <c r="E202" s="20" t="s">
        <v>22</v>
      </c>
      <c r="F202" s="20" t="str">
        <f t="shared" si="6"/>
        <v>시스템에어컨52C</v>
      </c>
      <c r="G202" s="21">
        <v>4700000</v>
      </c>
      <c r="H202" s="22">
        <f t="shared" si="7"/>
        <v>4272727</v>
      </c>
      <c r="I202" s="22">
        <v>427273</v>
      </c>
      <c r="J202" s="23"/>
    </row>
    <row r="203" spans="2:11" ht="30" customHeight="1">
      <c r="B203" s="24"/>
      <c r="C203" s="25" t="s">
        <v>109</v>
      </c>
      <c r="D203" s="25" t="s">
        <v>110</v>
      </c>
      <c r="E203" s="27" t="s">
        <v>17</v>
      </c>
      <c r="F203" s="27" t="str">
        <f t="shared" si="6"/>
        <v>시스템에어컨48A</v>
      </c>
      <c r="G203" s="28">
        <v>5800000</v>
      </c>
      <c r="H203" s="33">
        <f t="shared" si="7"/>
        <v>5272727</v>
      </c>
      <c r="I203" s="33">
        <v>527273</v>
      </c>
      <c r="J203" s="34"/>
    </row>
    <row r="204" spans="2:11" ht="30" customHeight="1">
      <c r="B204" s="24"/>
      <c r="C204" s="25" t="s">
        <v>109</v>
      </c>
      <c r="D204" s="25" t="s">
        <v>110</v>
      </c>
      <c r="E204" s="27" t="s">
        <v>8</v>
      </c>
      <c r="F204" s="27" t="str">
        <f t="shared" si="6"/>
        <v>시스템에어컨48B</v>
      </c>
      <c r="G204" s="28">
        <v>5800000</v>
      </c>
      <c r="H204" s="33">
        <f t="shared" si="7"/>
        <v>5272727</v>
      </c>
      <c r="I204" s="33">
        <v>527273</v>
      </c>
      <c r="J204" s="34"/>
    </row>
    <row r="205" spans="2:11" ht="30" customHeight="1">
      <c r="B205" s="24"/>
      <c r="C205" s="25" t="s">
        <v>109</v>
      </c>
      <c r="D205" s="25" t="s">
        <v>110</v>
      </c>
      <c r="E205" s="27" t="s">
        <v>21</v>
      </c>
      <c r="F205" s="27" t="str">
        <f t="shared" si="6"/>
        <v>시스템에어컨52B</v>
      </c>
      <c r="G205" s="28">
        <v>5800000</v>
      </c>
      <c r="H205" s="33">
        <f t="shared" si="7"/>
        <v>5272727</v>
      </c>
      <c r="I205" s="33">
        <v>527273</v>
      </c>
      <c r="J205" s="34"/>
    </row>
    <row r="206" spans="2:11" ht="30" customHeight="1">
      <c r="B206" s="24"/>
      <c r="C206" s="25" t="s">
        <v>109</v>
      </c>
      <c r="D206" s="25" t="s">
        <v>110</v>
      </c>
      <c r="E206" s="27" t="s">
        <v>13</v>
      </c>
      <c r="F206" s="27" t="str">
        <f t="shared" si="6"/>
        <v>시스템에어컨55A</v>
      </c>
      <c r="G206" s="28">
        <v>5800000</v>
      </c>
      <c r="H206" s="33">
        <f t="shared" si="7"/>
        <v>5272727</v>
      </c>
      <c r="I206" s="33">
        <v>527273</v>
      </c>
      <c r="J206" s="34"/>
    </row>
    <row r="207" spans="2:11" ht="30" customHeight="1">
      <c r="B207" s="24"/>
      <c r="C207" s="25" t="s">
        <v>109</v>
      </c>
      <c r="D207" s="25" t="s">
        <v>110</v>
      </c>
      <c r="E207" s="20" t="s">
        <v>18</v>
      </c>
      <c r="F207" s="20" t="str">
        <f t="shared" si="6"/>
        <v>시스템에어컨55B</v>
      </c>
      <c r="G207" s="28">
        <v>5800000</v>
      </c>
      <c r="H207" s="33">
        <f t="shared" si="7"/>
        <v>5272727</v>
      </c>
      <c r="I207" s="33">
        <v>527273</v>
      </c>
      <c r="J207" s="34"/>
    </row>
    <row r="208" spans="2:11" ht="30" customHeight="1">
      <c r="B208" s="24"/>
      <c r="C208" s="25" t="s">
        <v>109</v>
      </c>
      <c r="D208" s="25" t="s">
        <v>110</v>
      </c>
      <c r="E208" s="27" t="s">
        <v>16</v>
      </c>
      <c r="F208" s="27" t="str">
        <f t="shared" si="6"/>
        <v>시스템에어컨59A</v>
      </c>
      <c r="G208" s="28">
        <v>6400000</v>
      </c>
      <c r="H208" s="33">
        <f t="shared" si="7"/>
        <v>5818181</v>
      </c>
      <c r="I208" s="33">
        <v>581819</v>
      </c>
      <c r="J208" s="34"/>
    </row>
    <row r="209" spans="2:10" s="9" customFormat="1" ht="30" customHeight="1">
      <c r="B209" s="24"/>
      <c r="C209" s="25" t="s">
        <v>109</v>
      </c>
      <c r="D209" s="25" t="s">
        <v>110</v>
      </c>
      <c r="E209" s="27" t="s">
        <v>73</v>
      </c>
      <c r="F209" s="27" t="str">
        <f t="shared" si="6"/>
        <v>시스템에어컨59B</v>
      </c>
      <c r="G209" s="28">
        <v>6400000</v>
      </c>
      <c r="H209" s="33">
        <f t="shared" si="7"/>
        <v>5818181</v>
      </c>
      <c r="I209" s="33">
        <v>581819</v>
      </c>
      <c r="J209" s="34"/>
    </row>
    <row r="210" spans="2:10" s="9" customFormat="1" ht="30" customHeight="1">
      <c r="B210" s="24"/>
      <c r="C210" s="25" t="s">
        <v>109</v>
      </c>
      <c r="D210" s="25" t="s">
        <v>110</v>
      </c>
      <c r="E210" s="27" t="s">
        <v>6</v>
      </c>
      <c r="F210" s="27" t="str">
        <f t="shared" si="6"/>
        <v>시스템에어컨59C</v>
      </c>
      <c r="G210" s="28">
        <v>6400000</v>
      </c>
      <c r="H210" s="33">
        <f t="shared" si="7"/>
        <v>5818181</v>
      </c>
      <c r="I210" s="33">
        <v>581819</v>
      </c>
      <c r="J210" s="34"/>
    </row>
    <row r="211" spans="2:10" s="9" customFormat="1" ht="30" customHeight="1">
      <c r="B211" s="24"/>
      <c r="C211" s="25" t="s">
        <v>109</v>
      </c>
      <c r="D211" s="25" t="s">
        <v>110</v>
      </c>
      <c r="E211" s="27" t="s">
        <v>74</v>
      </c>
      <c r="F211" s="27" t="str">
        <f t="shared" si="6"/>
        <v>시스템에어컨59D</v>
      </c>
      <c r="G211" s="28">
        <v>6400000</v>
      </c>
      <c r="H211" s="33">
        <f t="shared" si="7"/>
        <v>5818181</v>
      </c>
      <c r="I211" s="33">
        <v>581819</v>
      </c>
      <c r="J211" s="34"/>
    </row>
    <row r="212" spans="2:10" s="9" customFormat="1" ht="30" customHeight="1">
      <c r="B212" s="24"/>
      <c r="C212" s="25" t="s">
        <v>109</v>
      </c>
      <c r="D212" s="25" t="s">
        <v>110</v>
      </c>
      <c r="E212" s="27" t="s">
        <v>75</v>
      </c>
      <c r="F212" s="27" t="str">
        <f t="shared" ref="F212:F302" si="8">+C212&amp;E212</f>
        <v>시스템에어컨59E</v>
      </c>
      <c r="G212" s="28">
        <v>6400000</v>
      </c>
      <c r="H212" s="33">
        <f t="shared" si="7"/>
        <v>5818181</v>
      </c>
      <c r="I212" s="33">
        <v>581819</v>
      </c>
      <c r="J212" s="34"/>
    </row>
    <row r="213" spans="2:10" s="9" customFormat="1" ht="30" customHeight="1">
      <c r="B213" s="24"/>
      <c r="C213" s="25" t="s">
        <v>109</v>
      </c>
      <c r="D213" s="25" t="s">
        <v>110</v>
      </c>
      <c r="E213" s="27" t="s">
        <v>76</v>
      </c>
      <c r="F213" s="27" t="str">
        <f t="shared" si="8"/>
        <v>시스템에어컨59F</v>
      </c>
      <c r="G213" s="28">
        <v>6400000</v>
      </c>
      <c r="H213" s="33">
        <f t="shared" si="7"/>
        <v>5818181</v>
      </c>
      <c r="I213" s="33">
        <v>581819</v>
      </c>
      <c r="J213" s="34"/>
    </row>
    <row r="214" spans="2:10" s="9" customFormat="1" ht="30" customHeight="1">
      <c r="B214" s="24"/>
      <c r="C214" s="25" t="s">
        <v>109</v>
      </c>
      <c r="D214" s="25" t="s">
        <v>110</v>
      </c>
      <c r="E214" s="27" t="s">
        <v>63</v>
      </c>
      <c r="F214" s="27" t="str">
        <f t="shared" si="8"/>
        <v>시스템에어컨65A</v>
      </c>
      <c r="G214" s="28">
        <v>5800000</v>
      </c>
      <c r="H214" s="33">
        <f t="shared" si="7"/>
        <v>5272727</v>
      </c>
      <c r="I214" s="33">
        <v>527273</v>
      </c>
      <c r="J214" s="34"/>
    </row>
    <row r="215" spans="2:10" s="9" customFormat="1" ht="30" customHeight="1">
      <c r="B215" s="24"/>
      <c r="C215" s="25" t="s">
        <v>109</v>
      </c>
      <c r="D215" s="25" t="s">
        <v>110</v>
      </c>
      <c r="E215" s="27" t="s">
        <v>64</v>
      </c>
      <c r="F215" s="27" t="str">
        <f t="shared" si="8"/>
        <v>시스템에어컨65B</v>
      </c>
      <c r="G215" s="21">
        <v>4700000</v>
      </c>
      <c r="H215" s="87">
        <f t="shared" si="7"/>
        <v>4272727</v>
      </c>
      <c r="I215" s="87">
        <v>427273</v>
      </c>
      <c r="J215" s="34"/>
    </row>
    <row r="216" spans="2:10" s="9" customFormat="1" ht="30" customHeight="1">
      <c r="B216" s="24"/>
      <c r="C216" s="25" t="s">
        <v>109</v>
      </c>
      <c r="D216" s="25" t="s">
        <v>110</v>
      </c>
      <c r="E216" s="27">
        <v>68</v>
      </c>
      <c r="F216" s="27" t="str">
        <f t="shared" si="8"/>
        <v>시스템에어컨68</v>
      </c>
      <c r="G216" s="28">
        <v>5800000</v>
      </c>
      <c r="H216" s="33">
        <f t="shared" si="7"/>
        <v>5272727</v>
      </c>
      <c r="I216" s="33">
        <v>527273</v>
      </c>
      <c r="J216" s="34"/>
    </row>
    <row r="217" spans="2:10" s="9" customFormat="1" ht="30" customHeight="1">
      <c r="B217" s="24"/>
      <c r="C217" s="25" t="s">
        <v>109</v>
      </c>
      <c r="D217" s="25" t="s">
        <v>110</v>
      </c>
      <c r="E217" s="27">
        <v>79</v>
      </c>
      <c r="F217" s="27" t="str">
        <f t="shared" si="8"/>
        <v>시스템에어컨79</v>
      </c>
      <c r="G217" s="28">
        <v>6400000</v>
      </c>
      <c r="H217" s="33">
        <f t="shared" si="7"/>
        <v>5818181</v>
      </c>
      <c r="I217" s="33">
        <v>581819</v>
      </c>
      <c r="J217" s="34"/>
    </row>
    <row r="218" spans="2:10" s="9" customFormat="1" ht="30" customHeight="1" thickBot="1">
      <c r="B218" s="42"/>
      <c r="C218" s="43" t="s">
        <v>109</v>
      </c>
      <c r="D218" s="43" t="s">
        <v>110</v>
      </c>
      <c r="E218" s="45">
        <v>84</v>
      </c>
      <c r="F218" s="45" t="str">
        <f t="shared" si="8"/>
        <v>시스템에어컨84</v>
      </c>
      <c r="G218" s="46">
        <v>6400000</v>
      </c>
      <c r="H218" s="47">
        <f t="shared" si="7"/>
        <v>5818181</v>
      </c>
      <c r="I218" s="47">
        <v>581819</v>
      </c>
      <c r="J218" s="48"/>
    </row>
    <row r="219" spans="2:10" s="9" customFormat="1" ht="30" customHeight="1">
      <c r="B219" s="91">
        <v>6</v>
      </c>
      <c r="C219" s="25" t="s">
        <v>111</v>
      </c>
      <c r="D219" s="25" t="s">
        <v>112</v>
      </c>
      <c r="E219" s="27" t="s">
        <v>78</v>
      </c>
      <c r="F219" s="27" t="str">
        <f t="shared" si="8"/>
        <v>비데일체형 양변기(욕실1)43</v>
      </c>
      <c r="G219" s="28">
        <v>700000</v>
      </c>
      <c r="H219" s="33">
        <f t="shared" si="7"/>
        <v>636363</v>
      </c>
      <c r="I219" s="33">
        <v>63637</v>
      </c>
      <c r="J219" s="34"/>
    </row>
    <row r="220" spans="2:10" s="9" customFormat="1" ht="30" customHeight="1">
      <c r="B220" s="24"/>
      <c r="C220" s="25" t="s">
        <v>111</v>
      </c>
      <c r="D220" s="25" t="s">
        <v>113</v>
      </c>
      <c r="E220" s="27" t="s">
        <v>11</v>
      </c>
      <c r="F220" s="27" t="str">
        <f t="shared" si="8"/>
        <v>비데일체형 양변기(욕실1)52A</v>
      </c>
      <c r="G220" s="28">
        <v>700000</v>
      </c>
      <c r="H220" s="33">
        <f t="shared" si="7"/>
        <v>636363</v>
      </c>
      <c r="I220" s="33">
        <v>63637</v>
      </c>
      <c r="J220" s="34"/>
    </row>
    <row r="221" spans="2:10" s="9" customFormat="1" ht="30" customHeight="1">
      <c r="B221" s="24"/>
      <c r="C221" s="25" t="s">
        <v>111</v>
      </c>
      <c r="D221" s="25" t="s">
        <v>113</v>
      </c>
      <c r="E221" s="27" t="s">
        <v>71</v>
      </c>
      <c r="F221" s="27" t="str">
        <f t="shared" si="8"/>
        <v>비데일체형 양변기(욕실1)52C</v>
      </c>
      <c r="G221" s="28">
        <v>700000</v>
      </c>
      <c r="H221" s="33">
        <f t="shared" si="7"/>
        <v>636363</v>
      </c>
      <c r="I221" s="33">
        <v>63637</v>
      </c>
      <c r="J221" s="34"/>
    </row>
    <row r="222" spans="2:10" s="9" customFormat="1" ht="30" customHeight="1">
      <c r="B222" s="24"/>
      <c r="C222" s="25" t="s">
        <v>111</v>
      </c>
      <c r="D222" s="25" t="s">
        <v>113</v>
      </c>
      <c r="E222" s="27" t="s">
        <v>68</v>
      </c>
      <c r="F222" s="27" t="str">
        <f t="shared" si="8"/>
        <v>비데일체형 양변기(욕실1)48A</v>
      </c>
      <c r="G222" s="28">
        <v>700000</v>
      </c>
      <c r="H222" s="33">
        <f t="shared" si="7"/>
        <v>636363</v>
      </c>
      <c r="I222" s="33">
        <v>63637</v>
      </c>
      <c r="J222" s="34"/>
    </row>
    <row r="223" spans="2:10" s="9" customFormat="1" ht="30" customHeight="1">
      <c r="B223" s="24"/>
      <c r="C223" s="25" t="s">
        <v>111</v>
      </c>
      <c r="D223" s="25" t="s">
        <v>113</v>
      </c>
      <c r="E223" s="27" t="s">
        <v>69</v>
      </c>
      <c r="F223" s="27" t="str">
        <f t="shared" si="8"/>
        <v>비데일체형 양변기(욕실1)48B</v>
      </c>
      <c r="G223" s="28">
        <v>700000</v>
      </c>
      <c r="H223" s="33">
        <f t="shared" si="7"/>
        <v>636363</v>
      </c>
      <c r="I223" s="33">
        <v>63637</v>
      </c>
      <c r="J223" s="34"/>
    </row>
    <row r="224" spans="2:10" s="9" customFormat="1" ht="30" customHeight="1">
      <c r="B224" s="24"/>
      <c r="C224" s="25" t="s">
        <v>111</v>
      </c>
      <c r="D224" s="25" t="s">
        <v>113</v>
      </c>
      <c r="E224" s="27" t="s">
        <v>70</v>
      </c>
      <c r="F224" s="27" t="str">
        <f t="shared" si="8"/>
        <v>비데일체형 양변기(욕실1)52B</v>
      </c>
      <c r="G224" s="28">
        <v>700000</v>
      </c>
      <c r="H224" s="33">
        <f t="shared" si="7"/>
        <v>636363</v>
      </c>
      <c r="I224" s="33">
        <v>63637</v>
      </c>
      <c r="J224" s="34"/>
    </row>
    <row r="225" spans="2:10" s="9" customFormat="1" ht="30" customHeight="1">
      <c r="B225" s="24"/>
      <c r="C225" s="25" t="s">
        <v>111</v>
      </c>
      <c r="D225" s="25" t="s">
        <v>113</v>
      </c>
      <c r="E225" s="27" t="s">
        <v>14</v>
      </c>
      <c r="F225" s="27" t="str">
        <f t="shared" si="8"/>
        <v>비데일체형 양변기(욕실1)55A</v>
      </c>
      <c r="G225" s="28">
        <v>700000</v>
      </c>
      <c r="H225" s="33">
        <f t="shared" si="7"/>
        <v>636363</v>
      </c>
      <c r="I225" s="33">
        <v>63637</v>
      </c>
      <c r="J225" s="34"/>
    </row>
    <row r="226" spans="2:10" s="9" customFormat="1" ht="30" customHeight="1">
      <c r="B226" s="24"/>
      <c r="C226" s="25" t="s">
        <v>111</v>
      </c>
      <c r="D226" s="25" t="s">
        <v>113</v>
      </c>
      <c r="E226" s="27" t="s">
        <v>72</v>
      </c>
      <c r="F226" s="27" t="str">
        <f t="shared" si="8"/>
        <v>비데일체형 양변기(욕실1)55B</v>
      </c>
      <c r="G226" s="28">
        <v>700000</v>
      </c>
      <c r="H226" s="33">
        <f t="shared" si="7"/>
        <v>636363</v>
      </c>
      <c r="I226" s="33">
        <v>63637</v>
      </c>
      <c r="J226" s="34"/>
    </row>
    <row r="227" spans="2:10" s="9" customFormat="1" ht="30" customHeight="1">
      <c r="B227" s="24"/>
      <c r="C227" s="25" t="s">
        <v>111</v>
      </c>
      <c r="D227" s="25" t="s">
        <v>113</v>
      </c>
      <c r="E227" s="27" t="s">
        <v>16</v>
      </c>
      <c r="F227" s="27" t="str">
        <f t="shared" si="8"/>
        <v>비데일체형 양변기(욕실1)59A</v>
      </c>
      <c r="G227" s="28">
        <v>700000</v>
      </c>
      <c r="H227" s="33">
        <f t="shared" si="7"/>
        <v>636363</v>
      </c>
      <c r="I227" s="33">
        <v>63637</v>
      </c>
      <c r="J227" s="34"/>
    </row>
    <row r="228" spans="2:10" s="9" customFormat="1" ht="30" customHeight="1">
      <c r="B228" s="24"/>
      <c r="C228" s="25" t="s">
        <v>111</v>
      </c>
      <c r="D228" s="25" t="s">
        <v>113</v>
      </c>
      <c r="E228" s="27" t="s">
        <v>73</v>
      </c>
      <c r="F228" s="27" t="str">
        <f t="shared" si="8"/>
        <v>비데일체형 양변기(욕실1)59B</v>
      </c>
      <c r="G228" s="28">
        <v>700000</v>
      </c>
      <c r="H228" s="33">
        <f t="shared" si="7"/>
        <v>636363</v>
      </c>
      <c r="I228" s="33">
        <v>63637</v>
      </c>
      <c r="J228" s="34"/>
    </row>
    <row r="229" spans="2:10" s="9" customFormat="1" ht="30" customHeight="1">
      <c r="B229" s="24"/>
      <c r="C229" s="25" t="s">
        <v>111</v>
      </c>
      <c r="D229" s="25" t="s">
        <v>113</v>
      </c>
      <c r="E229" s="27" t="s">
        <v>6</v>
      </c>
      <c r="F229" s="27" t="str">
        <f t="shared" si="8"/>
        <v>비데일체형 양변기(욕실1)59C</v>
      </c>
      <c r="G229" s="28">
        <v>700000</v>
      </c>
      <c r="H229" s="33">
        <f t="shared" si="7"/>
        <v>636363</v>
      </c>
      <c r="I229" s="33">
        <v>63637</v>
      </c>
      <c r="J229" s="34"/>
    </row>
    <row r="230" spans="2:10" s="9" customFormat="1" ht="30" customHeight="1">
      <c r="B230" s="24"/>
      <c r="C230" s="25" t="s">
        <v>111</v>
      </c>
      <c r="D230" s="25" t="s">
        <v>113</v>
      </c>
      <c r="E230" s="27" t="s">
        <v>74</v>
      </c>
      <c r="F230" s="27" t="str">
        <f t="shared" si="8"/>
        <v>비데일체형 양변기(욕실1)59D</v>
      </c>
      <c r="G230" s="28">
        <v>700000</v>
      </c>
      <c r="H230" s="33">
        <f t="shared" si="7"/>
        <v>636363</v>
      </c>
      <c r="I230" s="33">
        <v>63637</v>
      </c>
      <c r="J230" s="34"/>
    </row>
    <row r="231" spans="2:10" s="9" customFormat="1" ht="30" customHeight="1">
      <c r="B231" s="24"/>
      <c r="C231" s="25" t="s">
        <v>111</v>
      </c>
      <c r="D231" s="25" t="s">
        <v>113</v>
      </c>
      <c r="E231" s="27" t="s">
        <v>75</v>
      </c>
      <c r="F231" s="27" t="str">
        <f t="shared" si="8"/>
        <v>비데일체형 양변기(욕실1)59E</v>
      </c>
      <c r="G231" s="28">
        <v>700000</v>
      </c>
      <c r="H231" s="33">
        <f t="shared" si="7"/>
        <v>636363</v>
      </c>
      <c r="I231" s="33">
        <v>63637</v>
      </c>
      <c r="J231" s="34"/>
    </row>
    <row r="232" spans="2:10" s="9" customFormat="1" ht="30" customHeight="1">
      <c r="B232" s="24"/>
      <c r="C232" s="25" t="s">
        <v>111</v>
      </c>
      <c r="D232" s="25" t="s">
        <v>113</v>
      </c>
      <c r="E232" s="27" t="s">
        <v>76</v>
      </c>
      <c r="F232" s="27" t="str">
        <f t="shared" si="8"/>
        <v>비데일체형 양변기(욕실1)59F</v>
      </c>
      <c r="G232" s="28">
        <v>700000</v>
      </c>
      <c r="H232" s="33">
        <f t="shared" si="7"/>
        <v>636363</v>
      </c>
      <c r="I232" s="33">
        <v>63637</v>
      </c>
      <c r="J232" s="34"/>
    </row>
    <row r="233" spans="2:10" s="9" customFormat="1" ht="30" customHeight="1">
      <c r="B233" s="24"/>
      <c r="C233" s="25" t="s">
        <v>111</v>
      </c>
      <c r="D233" s="25" t="s">
        <v>113</v>
      </c>
      <c r="E233" s="27" t="s">
        <v>63</v>
      </c>
      <c r="F233" s="27" t="str">
        <f t="shared" si="8"/>
        <v>비데일체형 양변기(욕실1)65A</v>
      </c>
      <c r="G233" s="28">
        <v>700000</v>
      </c>
      <c r="H233" s="33">
        <f t="shared" si="7"/>
        <v>636363</v>
      </c>
      <c r="I233" s="33">
        <v>63637</v>
      </c>
      <c r="J233" s="34"/>
    </row>
    <row r="234" spans="2:10" s="9" customFormat="1" ht="30" customHeight="1">
      <c r="B234" s="24"/>
      <c r="C234" s="25" t="s">
        <v>111</v>
      </c>
      <c r="D234" s="25" t="s">
        <v>113</v>
      </c>
      <c r="E234" s="27" t="s">
        <v>64</v>
      </c>
      <c r="F234" s="27" t="str">
        <f t="shared" si="8"/>
        <v>비데일체형 양변기(욕실1)65B</v>
      </c>
      <c r="G234" s="28">
        <v>700000</v>
      </c>
      <c r="H234" s="33">
        <f t="shared" si="7"/>
        <v>636363</v>
      </c>
      <c r="I234" s="33">
        <v>63637</v>
      </c>
      <c r="J234" s="34"/>
    </row>
    <row r="235" spans="2:10" s="9" customFormat="1" ht="30" customHeight="1">
      <c r="B235" s="24"/>
      <c r="C235" s="25" t="s">
        <v>111</v>
      </c>
      <c r="D235" s="25" t="s">
        <v>113</v>
      </c>
      <c r="E235" s="27">
        <v>68</v>
      </c>
      <c r="F235" s="27" t="str">
        <f t="shared" si="8"/>
        <v>비데일체형 양변기(욕실1)68</v>
      </c>
      <c r="G235" s="28">
        <v>700000</v>
      </c>
      <c r="H235" s="33">
        <f t="shared" si="7"/>
        <v>636363</v>
      </c>
      <c r="I235" s="33">
        <v>63637</v>
      </c>
      <c r="J235" s="34"/>
    </row>
    <row r="236" spans="2:10" s="9" customFormat="1" ht="30" customHeight="1">
      <c r="B236" s="24"/>
      <c r="C236" s="25" t="s">
        <v>111</v>
      </c>
      <c r="D236" s="25" t="s">
        <v>113</v>
      </c>
      <c r="E236" s="27">
        <v>79</v>
      </c>
      <c r="F236" s="27" t="str">
        <f t="shared" si="8"/>
        <v>비데일체형 양변기(욕실1)79</v>
      </c>
      <c r="G236" s="28">
        <v>700000</v>
      </c>
      <c r="H236" s="33">
        <f t="shared" si="7"/>
        <v>636363</v>
      </c>
      <c r="I236" s="33">
        <v>63637</v>
      </c>
      <c r="J236" s="34"/>
    </row>
    <row r="237" spans="2:10" s="9" customFormat="1" ht="30" customHeight="1" thickBot="1">
      <c r="B237" s="42"/>
      <c r="C237" s="25" t="s">
        <v>111</v>
      </c>
      <c r="D237" s="25" t="s">
        <v>113</v>
      </c>
      <c r="E237" s="27">
        <v>84</v>
      </c>
      <c r="F237" s="27" t="str">
        <f t="shared" si="8"/>
        <v>비데일체형 양변기(욕실1)84</v>
      </c>
      <c r="G237" s="28">
        <v>700000</v>
      </c>
      <c r="H237" s="33">
        <f t="shared" si="7"/>
        <v>636363</v>
      </c>
      <c r="I237" s="33">
        <v>63637</v>
      </c>
      <c r="J237" s="34"/>
    </row>
    <row r="238" spans="2:10" s="9" customFormat="1" ht="30" customHeight="1">
      <c r="B238" s="35">
        <v>7</v>
      </c>
      <c r="C238" s="36" t="s">
        <v>114</v>
      </c>
      <c r="D238" s="36" t="s">
        <v>115</v>
      </c>
      <c r="E238" s="27" t="s">
        <v>78</v>
      </c>
      <c r="F238" s="27" t="str">
        <f t="shared" si="8"/>
        <v>비데(욕실1)43</v>
      </c>
      <c r="G238" s="32">
        <v>200000</v>
      </c>
      <c r="H238" s="87">
        <f t="shared" si="7"/>
        <v>181818</v>
      </c>
      <c r="I238" s="87">
        <v>18182</v>
      </c>
      <c r="J238" s="93"/>
    </row>
    <row r="239" spans="2:10" s="9" customFormat="1" ht="30" customHeight="1">
      <c r="B239" s="24"/>
      <c r="C239" s="25" t="s">
        <v>114</v>
      </c>
      <c r="D239" s="25" t="s">
        <v>116</v>
      </c>
      <c r="E239" s="27" t="s">
        <v>11</v>
      </c>
      <c r="F239" s="27" t="str">
        <f t="shared" si="8"/>
        <v>비데(욕실1)52A</v>
      </c>
      <c r="G239" s="32">
        <v>200000</v>
      </c>
      <c r="H239" s="87">
        <f t="shared" si="7"/>
        <v>181818</v>
      </c>
      <c r="I239" s="87">
        <v>18182</v>
      </c>
      <c r="J239" s="94"/>
    </row>
    <row r="240" spans="2:10" s="9" customFormat="1" ht="30" customHeight="1">
      <c r="B240" s="24"/>
      <c r="C240" s="25" t="s">
        <v>114</v>
      </c>
      <c r="D240" s="25" t="s">
        <v>116</v>
      </c>
      <c r="E240" s="27" t="s">
        <v>71</v>
      </c>
      <c r="F240" s="27" t="str">
        <f t="shared" si="8"/>
        <v>비데(욕실1)52C</v>
      </c>
      <c r="G240" s="32">
        <v>200000</v>
      </c>
      <c r="H240" s="87">
        <f t="shared" si="7"/>
        <v>181818</v>
      </c>
      <c r="I240" s="87">
        <v>18182</v>
      </c>
      <c r="J240" s="94"/>
    </row>
    <row r="241" spans="2:10" s="9" customFormat="1" ht="30" customHeight="1">
      <c r="B241" s="24"/>
      <c r="C241" s="25" t="s">
        <v>114</v>
      </c>
      <c r="D241" s="25" t="s">
        <v>116</v>
      </c>
      <c r="E241" s="27" t="s">
        <v>68</v>
      </c>
      <c r="F241" s="27" t="str">
        <f t="shared" si="8"/>
        <v>비데(욕실1)48A</v>
      </c>
      <c r="G241" s="32">
        <v>200000</v>
      </c>
      <c r="H241" s="87">
        <f t="shared" si="7"/>
        <v>181818</v>
      </c>
      <c r="I241" s="87">
        <v>18182</v>
      </c>
      <c r="J241" s="94"/>
    </row>
    <row r="242" spans="2:10" s="9" customFormat="1" ht="30" customHeight="1">
      <c r="B242" s="24"/>
      <c r="C242" s="25" t="s">
        <v>114</v>
      </c>
      <c r="D242" s="25" t="s">
        <v>116</v>
      </c>
      <c r="E242" s="27" t="s">
        <v>69</v>
      </c>
      <c r="F242" s="27" t="str">
        <f t="shared" si="8"/>
        <v>비데(욕실1)48B</v>
      </c>
      <c r="G242" s="32">
        <v>200000</v>
      </c>
      <c r="H242" s="87">
        <f t="shared" si="7"/>
        <v>181818</v>
      </c>
      <c r="I242" s="87">
        <v>18182</v>
      </c>
      <c r="J242" s="94"/>
    </row>
    <row r="243" spans="2:10" s="9" customFormat="1" ht="30" customHeight="1">
      <c r="B243" s="24"/>
      <c r="C243" s="25" t="s">
        <v>114</v>
      </c>
      <c r="D243" s="25" t="s">
        <v>116</v>
      </c>
      <c r="E243" s="27" t="s">
        <v>70</v>
      </c>
      <c r="F243" s="27" t="str">
        <f t="shared" si="8"/>
        <v>비데(욕실1)52B</v>
      </c>
      <c r="G243" s="32">
        <v>200000</v>
      </c>
      <c r="H243" s="87">
        <f t="shared" si="7"/>
        <v>181818</v>
      </c>
      <c r="I243" s="87">
        <v>18182</v>
      </c>
      <c r="J243" s="94"/>
    </row>
    <row r="244" spans="2:10" s="9" customFormat="1" ht="30" customHeight="1">
      <c r="B244" s="24"/>
      <c r="C244" s="25" t="s">
        <v>114</v>
      </c>
      <c r="D244" s="25" t="s">
        <v>116</v>
      </c>
      <c r="E244" s="27" t="s">
        <v>14</v>
      </c>
      <c r="F244" s="27" t="str">
        <f t="shared" si="8"/>
        <v>비데(욕실1)55A</v>
      </c>
      <c r="G244" s="32">
        <v>200000</v>
      </c>
      <c r="H244" s="87">
        <f t="shared" si="7"/>
        <v>181818</v>
      </c>
      <c r="I244" s="87">
        <v>18182</v>
      </c>
      <c r="J244" s="94"/>
    </row>
    <row r="245" spans="2:10" s="9" customFormat="1" ht="30" customHeight="1">
      <c r="B245" s="95"/>
      <c r="C245" s="96" t="s">
        <v>114</v>
      </c>
      <c r="D245" s="96" t="s">
        <v>116</v>
      </c>
      <c r="E245" s="27" t="s">
        <v>72</v>
      </c>
      <c r="F245" s="27" t="str">
        <f t="shared" si="8"/>
        <v>비데(욕실1)55B</v>
      </c>
      <c r="G245" s="28">
        <v>200000</v>
      </c>
      <c r="H245" s="22">
        <f t="shared" si="7"/>
        <v>181818</v>
      </c>
      <c r="I245" s="22">
        <v>18182</v>
      </c>
      <c r="J245" s="97"/>
    </row>
    <row r="246" spans="2:10" s="9" customFormat="1" ht="30" customHeight="1">
      <c r="B246" s="24"/>
      <c r="C246" s="25" t="s">
        <v>114</v>
      </c>
      <c r="D246" s="25" t="s">
        <v>116</v>
      </c>
      <c r="E246" s="20" t="s">
        <v>16</v>
      </c>
      <c r="F246" s="20" t="str">
        <f t="shared" si="8"/>
        <v>비데(욕실1)59A</v>
      </c>
      <c r="G246" s="98">
        <v>200000</v>
      </c>
      <c r="H246" s="87">
        <f t="shared" si="7"/>
        <v>181818</v>
      </c>
      <c r="I246" s="87">
        <v>18182</v>
      </c>
      <c r="J246" s="88"/>
    </row>
    <row r="247" spans="2:10" s="9" customFormat="1" ht="30" customHeight="1">
      <c r="B247" s="24"/>
      <c r="C247" s="25" t="s">
        <v>114</v>
      </c>
      <c r="D247" s="25" t="s">
        <v>116</v>
      </c>
      <c r="E247" s="27" t="s">
        <v>73</v>
      </c>
      <c r="F247" s="27" t="str">
        <f t="shared" si="8"/>
        <v>비데(욕실1)59B</v>
      </c>
      <c r="G247" s="32">
        <v>200000</v>
      </c>
      <c r="H247" s="87">
        <f t="shared" si="7"/>
        <v>181818</v>
      </c>
      <c r="I247" s="87">
        <v>18182</v>
      </c>
      <c r="J247" s="88"/>
    </row>
    <row r="248" spans="2:10" s="9" customFormat="1" ht="30" customHeight="1">
      <c r="B248" s="24"/>
      <c r="C248" s="25" t="s">
        <v>114</v>
      </c>
      <c r="D248" s="25" t="s">
        <v>116</v>
      </c>
      <c r="E248" s="27" t="s">
        <v>6</v>
      </c>
      <c r="F248" s="27" t="str">
        <f t="shared" si="8"/>
        <v>비데(욕실1)59C</v>
      </c>
      <c r="G248" s="32">
        <v>200000</v>
      </c>
      <c r="H248" s="87">
        <f t="shared" si="7"/>
        <v>181818</v>
      </c>
      <c r="I248" s="87">
        <v>18182</v>
      </c>
      <c r="J248" s="88"/>
    </row>
    <row r="249" spans="2:10" s="9" customFormat="1" ht="30" customHeight="1">
      <c r="B249" s="24"/>
      <c r="C249" s="25" t="s">
        <v>114</v>
      </c>
      <c r="D249" s="25" t="s">
        <v>116</v>
      </c>
      <c r="E249" s="27" t="s">
        <v>74</v>
      </c>
      <c r="F249" s="27" t="str">
        <f t="shared" si="8"/>
        <v>비데(욕실1)59D</v>
      </c>
      <c r="G249" s="32">
        <v>200000</v>
      </c>
      <c r="H249" s="87">
        <f t="shared" si="7"/>
        <v>181818</v>
      </c>
      <c r="I249" s="87">
        <v>18182</v>
      </c>
      <c r="J249" s="88"/>
    </row>
    <row r="250" spans="2:10" s="9" customFormat="1" ht="30" customHeight="1">
      <c r="B250" s="24"/>
      <c r="C250" s="25" t="s">
        <v>114</v>
      </c>
      <c r="D250" s="25" t="s">
        <v>116</v>
      </c>
      <c r="E250" s="27" t="s">
        <v>75</v>
      </c>
      <c r="F250" s="27" t="str">
        <f t="shared" si="8"/>
        <v>비데(욕실1)59E</v>
      </c>
      <c r="G250" s="32">
        <v>200000</v>
      </c>
      <c r="H250" s="87">
        <f t="shared" si="7"/>
        <v>181818</v>
      </c>
      <c r="I250" s="87">
        <v>18182</v>
      </c>
      <c r="J250" s="88"/>
    </row>
    <row r="251" spans="2:10" s="9" customFormat="1" ht="30" customHeight="1">
      <c r="B251" s="24"/>
      <c r="C251" s="25" t="s">
        <v>114</v>
      </c>
      <c r="D251" s="25" t="s">
        <v>116</v>
      </c>
      <c r="E251" s="27" t="s">
        <v>76</v>
      </c>
      <c r="F251" s="27" t="str">
        <f t="shared" si="8"/>
        <v>비데(욕실1)59F</v>
      </c>
      <c r="G251" s="32">
        <v>200000</v>
      </c>
      <c r="H251" s="87">
        <f t="shared" si="7"/>
        <v>181818</v>
      </c>
      <c r="I251" s="87">
        <v>18182</v>
      </c>
      <c r="J251" s="88"/>
    </row>
    <row r="252" spans="2:10" s="9" customFormat="1" ht="30" customHeight="1">
      <c r="B252" s="24"/>
      <c r="C252" s="25" t="s">
        <v>114</v>
      </c>
      <c r="D252" s="25" t="s">
        <v>116</v>
      </c>
      <c r="E252" s="27" t="s">
        <v>63</v>
      </c>
      <c r="F252" s="27" t="str">
        <f t="shared" si="8"/>
        <v>비데(욕실1)65A</v>
      </c>
      <c r="G252" s="32">
        <v>200000</v>
      </c>
      <c r="H252" s="87">
        <f t="shared" si="7"/>
        <v>181818</v>
      </c>
      <c r="I252" s="87">
        <v>18182</v>
      </c>
      <c r="J252" s="88"/>
    </row>
    <row r="253" spans="2:10" s="9" customFormat="1" ht="30" customHeight="1">
      <c r="B253" s="24"/>
      <c r="C253" s="25" t="s">
        <v>114</v>
      </c>
      <c r="D253" s="25" t="s">
        <v>116</v>
      </c>
      <c r="E253" s="27" t="s">
        <v>64</v>
      </c>
      <c r="F253" s="27" t="str">
        <f t="shared" si="8"/>
        <v>비데(욕실1)65B</v>
      </c>
      <c r="G253" s="32">
        <v>200000</v>
      </c>
      <c r="H253" s="87">
        <f t="shared" si="7"/>
        <v>181818</v>
      </c>
      <c r="I253" s="87">
        <v>18182</v>
      </c>
      <c r="J253" s="88"/>
    </row>
    <row r="254" spans="2:10" s="9" customFormat="1" ht="30" customHeight="1">
      <c r="B254" s="24"/>
      <c r="C254" s="25" t="s">
        <v>114</v>
      </c>
      <c r="D254" s="25" t="s">
        <v>116</v>
      </c>
      <c r="E254" s="27">
        <v>68</v>
      </c>
      <c r="F254" s="27" t="str">
        <f t="shared" si="8"/>
        <v>비데(욕실1)68</v>
      </c>
      <c r="G254" s="32">
        <v>200000</v>
      </c>
      <c r="H254" s="87">
        <f t="shared" si="7"/>
        <v>181818</v>
      </c>
      <c r="I254" s="87">
        <v>18182</v>
      </c>
      <c r="J254" s="88"/>
    </row>
    <row r="255" spans="2:10" s="9" customFormat="1" ht="30" customHeight="1">
      <c r="B255" s="24"/>
      <c r="C255" s="25" t="s">
        <v>114</v>
      </c>
      <c r="D255" s="25" t="s">
        <v>116</v>
      </c>
      <c r="E255" s="27">
        <v>79</v>
      </c>
      <c r="F255" s="27" t="str">
        <f t="shared" si="8"/>
        <v>비데(욕실1)79</v>
      </c>
      <c r="G255" s="32">
        <v>200000</v>
      </c>
      <c r="H255" s="87">
        <f t="shared" si="7"/>
        <v>181818</v>
      </c>
      <c r="I255" s="87">
        <v>18182</v>
      </c>
      <c r="J255" s="88"/>
    </row>
    <row r="256" spans="2:10" s="9" customFormat="1" ht="30" customHeight="1" thickBot="1">
      <c r="B256" s="42"/>
      <c r="C256" s="43" t="s">
        <v>114</v>
      </c>
      <c r="D256" s="43" t="s">
        <v>116</v>
      </c>
      <c r="E256" s="45">
        <v>84</v>
      </c>
      <c r="F256" s="45" t="str">
        <f t="shared" si="8"/>
        <v>비데(욕실1)84</v>
      </c>
      <c r="G256" s="46">
        <v>200000</v>
      </c>
      <c r="H256" s="99">
        <f t="shared" si="7"/>
        <v>181818</v>
      </c>
      <c r="I256" s="99">
        <v>18182</v>
      </c>
      <c r="J256" s="100"/>
    </row>
    <row r="257" spans="2:10" s="9" customFormat="1" ht="30" customHeight="1">
      <c r="B257" s="24">
        <v>6</v>
      </c>
      <c r="C257" s="25" t="s">
        <v>117</v>
      </c>
      <c r="D257" s="25" t="s">
        <v>112</v>
      </c>
      <c r="E257" s="20" t="s">
        <v>78</v>
      </c>
      <c r="F257" s="20" t="str">
        <f t="shared" si="8"/>
        <v>비데일체형 양변기(욕실2)43</v>
      </c>
      <c r="G257" s="21">
        <v>700000</v>
      </c>
      <c r="H257" s="87">
        <f t="shared" si="7"/>
        <v>636363</v>
      </c>
      <c r="I257" s="87">
        <v>63637</v>
      </c>
      <c r="J257" s="88"/>
    </row>
    <row r="258" spans="2:10" s="9" customFormat="1" ht="30" customHeight="1">
      <c r="B258" s="24"/>
      <c r="C258" s="25" t="s">
        <v>117</v>
      </c>
      <c r="D258" s="25" t="s">
        <v>113</v>
      </c>
      <c r="E258" s="27" t="s">
        <v>11</v>
      </c>
      <c r="F258" s="27" t="str">
        <f t="shared" si="8"/>
        <v>비데일체형 양변기(욕실2)52A</v>
      </c>
      <c r="G258" s="28">
        <v>700000</v>
      </c>
      <c r="H258" s="33">
        <f t="shared" si="7"/>
        <v>636363</v>
      </c>
      <c r="I258" s="33">
        <v>63637</v>
      </c>
      <c r="J258" s="34"/>
    </row>
    <row r="259" spans="2:10" s="9" customFormat="1" ht="30" customHeight="1">
      <c r="B259" s="24"/>
      <c r="C259" s="25" t="s">
        <v>117</v>
      </c>
      <c r="D259" s="25" t="s">
        <v>113</v>
      </c>
      <c r="E259" s="27" t="s">
        <v>71</v>
      </c>
      <c r="F259" s="27" t="str">
        <f t="shared" si="8"/>
        <v>비데일체형 양변기(욕실2)52C</v>
      </c>
      <c r="G259" s="28">
        <v>700000</v>
      </c>
      <c r="H259" s="33">
        <f t="shared" si="7"/>
        <v>636363</v>
      </c>
      <c r="I259" s="33">
        <v>63637</v>
      </c>
      <c r="J259" s="34"/>
    </row>
    <row r="260" spans="2:10" s="9" customFormat="1" ht="30" customHeight="1">
      <c r="B260" s="24"/>
      <c r="C260" s="25" t="s">
        <v>117</v>
      </c>
      <c r="D260" s="25" t="s">
        <v>113</v>
      </c>
      <c r="E260" s="27" t="s">
        <v>68</v>
      </c>
      <c r="F260" s="27" t="str">
        <f t="shared" si="8"/>
        <v>비데일체형 양변기(욕실2)48A</v>
      </c>
      <c r="G260" s="28">
        <v>700000</v>
      </c>
      <c r="H260" s="33">
        <f t="shared" si="7"/>
        <v>636363</v>
      </c>
      <c r="I260" s="33">
        <v>63637</v>
      </c>
      <c r="J260" s="34"/>
    </row>
    <row r="261" spans="2:10" s="9" customFormat="1" ht="30" customHeight="1">
      <c r="B261" s="24"/>
      <c r="C261" s="25" t="s">
        <v>117</v>
      </c>
      <c r="D261" s="25" t="s">
        <v>113</v>
      </c>
      <c r="E261" s="27" t="s">
        <v>69</v>
      </c>
      <c r="F261" s="27" t="str">
        <f t="shared" si="8"/>
        <v>비데일체형 양변기(욕실2)48B</v>
      </c>
      <c r="G261" s="28">
        <v>700000</v>
      </c>
      <c r="H261" s="33">
        <f t="shared" si="7"/>
        <v>636363</v>
      </c>
      <c r="I261" s="33">
        <v>63637</v>
      </c>
      <c r="J261" s="34"/>
    </row>
    <row r="262" spans="2:10" s="9" customFormat="1" ht="30" customHeight="1">
      <c r="B262" s="24"/>
      <c r="C262" s="25" t="s">
        <v>117</v>
      </c>
      <c r="D262" s="25" t="s">
        <v>113</v>
      </c>
      <c r="E262" s="27" t="s">
        <v>70</v>
      </c>
      <c r="F262" s="27" t="str">
        <f t="shared" si="8"/>
        <v>비데일체형 양변기(욕실2)52B</v>
      </c>
      <c r="G262" s="28">
        <v>700000</v>
      </c>
      <c r="H262" s="33">
        <f t="shared" si="7"/>
        <v>636363</v>
      </c>
      <c r="I262" s="33">
        <v>63637</v>
      </c>
      <c r="J262" s="34"/>
    </row>
    <row r="263" spans="2:10" s="9" customFormat="1" ht="30" customHeight="1">
      <c r="B263" s="24"/>
      <c r="C263" s="25" t="s">
        <v>117</v>
      </c>
      <c r="D263" s="25" t="s">
        <v>113</v>
      </c>
      <c r="E263" s="27" t="s">
        <v>14</v>
      </c>
      <c r="F263" s="27" t="str">
        <f t="shared" si="8"/>
        <v>비데일체형 양변기(욕실2)55A</v>
      </c>
      <c r="G263" s="28">
        <v>700000</v>
      </c>
      <c r="H263" s="33">
        <f t="shared" si="7"/>
        <v>636363</v>
      </c>
      <c r="I263" s="33">
        <v>63637</v>
      </c>
      <c r="J263" s="34"/>
    </row>
    <row r="264" spans="2:10" s="9" customFormat="1" ht="30" customHeight="1">
      <c r="B264" s="24"/>
      <c r="C264" s="25" t="s">
        <v>117</v>
      </c>
      <c r="D264" s="25" t="s">
        <v>113</v>
      </c>
      <c r="E264" s="27" t="s">
        <v>72</v>
      </c>
      <c r="F264" s="27" t="str">
        <f t="shared" si="8"/>
        <v>비데일체형 양변기(욕실2)55B</v>
      </c>
      <c r="G264" s="28">
        <v>700000</v>
      </c>
      <c r="H264" s="33">
        <f t="shared" si="7"/>
        <v>636363</v>
      </c>
      <c r="I264" s="33">
        <v>63637</v>
      </c>
      <c r="J264" s="34"/>
    </row>
    <row r="265" spans="2:10" s="9" customFormat="1" ht="30" customHeight="1">
      <c r="B265" s="24"/>
      <c r="C265" s="25" t="s">
        <v>117</v>
      </c>
      <c r="D265" s="25" t="s">
        <v>113</v>
      </c>
      <c r="E265" s="27" t="s">
        <v>16</v>
      </c>
      <c r="F265" s="27" t="str">
        <f t="shared" si="8"/>
        <v>비데일체형 양변기(욕실2)59A</v>
      </c>
      <c r="G265" s="28">
        <v>700000</v>
      </c>
      <c r="H265" s="33">
        <f t="shared" si="7"/>
        <v>636363</v>
      </c>
      <c r="I265" s="33">
        <v>63637</v>
      </c>
      <c r="J265" s="34"/>
    </row>
    <row r="266" spans="2:10" s="9" customFormat="1" ht="30" customHeight="1">
      <c r="B266" s="24"/>
      <c r="C266" s="25" t="s">
        <v>117</v>
      </c>
      <c r="D266" s="25" t="s">
        <v>113</v>
      </c>
      <c r="E266" s="27" t="s">
        <v>73</v>
      </c>
      <c r="F266" s="27" t="str">
        <f t="shared" si="8"/>
        <v>비데일체형 양변기(욕실2)59B</v>
      </c>
      <c r="G266" s="28">
        <v>700000</v>
      </c>
      <c r="H266" s="33">
        <f t="shared" si="7"/>
        <v>636363</v>
      </c>
      <c r="I266" s="33">
        <v>63637</v>
      </c>
      <c r="J266" s="34"/>
    </row>
    <row r="267" spans="2:10" s="9" customFormat="1" ht="30" customHeight="1">
      <c r="B267" s="24"/>
      <c r="C267" s="25" t="s">
        <v>117</v>
      </c>
      <c r="D267" s="25" t="s">
        <v>113</v>
      </c>
      <c r="E267" s="27" t="s">
        <v>6</v>
      </c>
      <c r="F267" s="27" t="str">
        <f t="shared" si="8"/>
        <v>비데일체형 양변기(욕실2)59C</v>
      </c>
      <c r="G267" s="28">
        <v>700000</v>
      </c>
      <c r="H267" s="33">
        <f t="shared" si="7"/>
        <v>636363</v>
      </c>
      <c r="I267" s="33">
        <v>63637</v>
      </c>
      <c r="J267" s="34"/>
    </row>
    <row r="268" spans="2:10" s="9" customFormat="1" ht="30" customHeight="1">
      <c r="B268" s="24"/>
      <c r="C268" s="25" t="s">
        <v>117</v>
      </c>
      <c r="D268" s="25" t="s">
        <v>113</v>
      </c>
      <c r="E268" s="27" t="s">
        <v>74</v>
      </c>
      <c r="F268" s="27" t="str">
        <f t="shared" si="8"/>
        <v>비데일체형 양변기(욕실2)59D</v>
      </c>
      <c r="G268" s="28">
        <v>700000</v>
      </c>
      <c r="H268" s="33">
        <f t="shared" si="7"/>
        <v>636363</v>
      </c>
      <c r="I268" s="33">
        <v>63637</v>
      </c>
      <c r="J268" s="34"/>
    </row>
    <row r="269" spans="2:10" s="9" customFormat="1" ht="30" customHeight="1">
      <c r="B269" s="24"/>
      <c r="C269" s="25" t="s">
        <v>117</v>
      </c>
      <c r="D269" s="25" t="s">
        <v>113</v>
      </c>
      <c r="E269" s="27" t="s">
        <v>75</v>
      </c>
      <c r="F269" s="27" t="str">
        <f t="shared" si="8"/>
        <v>비데일체형 양변기(욕실2)59E</v>
      </c>
      <c r="G269" s="28">
        <v>700000</v>
      </c>
      <c r="H269" s="33">
        <f t="shared" si="7"/>
        <v>636363</v>
      </c>
      <c r="I269" s="33">
        <v>63637</v>
      </c>
      <c r="J269" s="34"/>
    </row>
    <row r="270" spans="2:10" s="9" customFormat="1" ht="30" customHeight="1">
      <c r="B270" s="24"/>
      <c r="C270" s="25" t="s">
        <v>117</v>
      </c>
      <c r="D270" s="25" t="s">
        <v>113</v>
      </c>
      <c r="E270" s="27" t="s">
        <v>76</v>
      </c>
      <c r="F270" s="27" t="str">
        <f t="shared" si="8"/>
        <v>비데일체형 양변기(욕실2)59F</v>
      </c>
      <c r="G270" s="28">
        <v>700000</v>
      </c>
      <c r="H270" s="33">
        <f t="shared" si="7"/>
        <v>636363</v>
      </c>
      <c r="I270" s="33">
        <v>63637</v>
      </c>
      <c r="J270" s="34"/>
    </row>
    <row r="271" spans="2:10" s="9" customFormat="1" ht="30" customHeight="1">
      <c r="B271" s="24"/>
      <c r="C271" s="25" t="s">
        <v>117</v>
      </c>
      <c r="D271" s="25" t="s">
        <v>113</v>
      </c>
      <c r="E271" s="27" t="s">
        <v>63</v>
      </c>
      <c r="F271" s="27" t="str">
        <f t="shared" si="8"/>
        <v>비데일체형 양변기(욕실2)65A</v>
      </c>
      <c r="G271" s="28">
        <v>700000</v>
      </c>
      <c r="H271" s="33">
        <f t="shared" si="7"/>
        <v>636363</v>
      </c>
      <c r="I271" s="33">
        <v>63637</v>
      </c>
      <c r="J271" s="34"/>
    </row>
    <row r="272" spans="2:10" s="9" customFormat="1" ht="30" customHeight="1">
      <c r="B272" s="24"/>
      <c r="C272" s="25" t="s">
        <v>117</v>
      </c>
      <c r="D272" s="25" t="s">
        <v>113</v>
      </c>
      <c r="E272" s="27" t="s">
        <v>64</v>
      </c>
      <c r="F272" s="27" t="str">
        <f t="shared" si="8"/>
        <v>비데일체형 양변기(욕실2)65B</v>
      </c>
      <c r="G272" s="28">
        <v>700000</v>
      </c>
      <c r="H272" s="33">
        <f t="shared" si="7"/>
        <v>636363</v>
      </c>
      <c r="I272" s="33">
        <v>63637</v>
      </c>
      <c r="J272" s="34"/>
    </row>
    <row r="273" spans="2:10" s="9" customFormat="1" ht="30" customHeight="1">
      <c r="B273" s="24"/>
      <c r="C273" s="25" t="s">
        <v>117</v>
      </c>
      <c r="D273" s="25" t="s">
        <v>113</v>
      </c>
      <c r="E273" s="27">
        <v>68</v>
      </c>
      <c r="F273" s="27" t="str">
        <f t="shared" si="8"/>
        <v>비데일체형 양변기(욕실2)68</v>
      </c>
      <c r="G273" s="28">
        <v>700000</v>
      </c>
      <c r="H273" s="33">
        <f t="shared" si="7"/>
        <v>636363</v>
      </c>
      <c r="I273" s="33">
        <v>63637</v>
      </c>
      <c r="J273" s="34"/>
    </row>
    <row r="274" spans="2:10" s="9" customFormat="1" ht="30" customHeight="1">
      <c r="B274" s="24"/>
      <c r="C274" s="25" t="s">
        <v>117</v>
      </c>
      <c r="D274" s="25" t="s">
        <v>113</v>
      </c>
      <c r="E274" s="27">
        <v>79</v>
      </c>
      <c r="F274" s="27" t="str">
        <f t="shared" si="8"/>
        <v>비데일체형 양변기(욕실2)79</v>
      </c>
      <c r="G274" s="28">
        <v>700000</v>
      </c>
      <c r="H274" s="33">
        <f t="shared" si="7"/>
        <v>636363</v>
      </c>
      <c r="I274" s="33">
        <v>63637</v>
      </c>
      <c r="J274" s="34"/>
    </row>
    <row r="275" spans="2:10" s="9" customFormat="1" ht="30" customHeight="1" thickBot="1">
      <c r="B275" s="42"/>
      <c r="C275" s="25" t="s">
        <v>117</v>
      </c>
      <c r="D275" s="25" t="s">
        <v>113</v>
      </c>
      <c r="E275" s="27">
        <v>84</v>
      </c>
      <c r="F275" s="27" t="str">
        <f t="shared" si="8"/>
        <v>비데일체형 양변기(욕실2)84</v>
      </c>
      <c r="G275" s="28">
        <v>700000</v>
      </c>
      <c r="H275" s="33">
        <f t="shared" si="7"/>
        <v>636363</v>
      </c>
      <c r="I275" s="33">
        <v>63637</v>
      </c>
      <c r="J275" s="34"/>
    </row>
    <row r="276" spans="2:10" s="9" customFormat="1" ht="30" customHeight="1">
      <c r="B276" s="35">
        <v>7</v>
      </c>
      <c r="C276" s="36" t="s">
        <v>118</v>
      </c>
      <c r="D276" s="36" t="s">
        <v>115</v>
      </c>
      <c r="E276" s="27" t="s">
        <v>16</v>
      </c>
      <c r="F276" s="27" t="str">
        <f t="shared" si="8"/>
        <v>비데(욕실2)59A</v>
      </c>
      <c r="G276" s="32">
        <v>200000</v>
      </c>
      <c r="H276" s="87">
        <f t="shared" si="7"/>
        <v>181818</v>
      </c>
      <c r="I276" s="87">
        <v>18182</v>
      </c>
      <c r="J276" s="105"/>
    </row>
    <row r="277" spans="2:10" s="9" customFormat="1" ht="30" customHeight="1">
      <c r="B277" s="24"/>
      <c r="C277" s="25" t="s">
        <v>118</v>
      </c>
      <c r="D277" s="25" t="s">
        <v>116</v>
      </c>
      <c r="E277" s="27" t="s">
        <v>73</v>
      </c>
      <c r="F277" s="27" t="str">
        <f t="shared" si="8"/>
        <v>비데(욕실2)59B</v>
      </c>
      <c r="G277" s="32">
        <v>200000</v>
      </c>
      <c r="H277" s="87">
        <f t="shared" si="7"/>
        <v>181818</v>
      </c>
      <c r="I277" s="87">
        <v>18182</v>
      </c>
      <c r="J277" s="106"/>
    </row>
    <row r="278" spans="2:10" s="9" customFormat="1" ht="30" customHeight="1">
      <c r="B278" s="24"/>
      <c r="C278" s="25" t="s">
        <v>118</v>
      </c>
      <c r="D278" s="25" t="s">
        <v>116</v>
      </c>
      <c r="E278" s="27" t="s">
        <v>6</v>
      </c>
      <c r="F278" s="27" t="str">
        <f t="shared" si="8"/>
        <v>비데(욕실2)59C</v>
      </c>
      <c r="G278" s="32">
        <v>200000</v>
      </c>
      <c r="H278" s="87">
        <f t="shared" si="7"/>
        <v>181818</v>
      </c>
      <c r="I278" s="87">
        <v>18182</v>
      </c>
      <c r="J278" s="106"/>
    </row>
    <row r="279" spans="2:10" s="9" customFormat="1" ht="30" customHeight="1">
      <c r="B279" s="24"/>
      <c r="C279" s="25" t="s">
        <v>118</v>
      </c>
      <c r="D279" s="25" t="s">
        <v>116</v>
      </c>
      <c r="E279" s="27" t="s">
        <v>74</v>
      </c>
      <c r="F279" s="27" t="str">
        <f t="shared" si="8"/>
        <v>비데(욕실2)59D</v>
      </c>
      <c r="G279" s="32">
        <v>200000</v>
      </c>
      <c r="H279" s="87">
        <f t="shared" si="7"/>
        <v>181818</v>
      </c>
      <c r="I279" s="87">
        <v>18182</v>
      </c>
      <c r="J279" s="106"/>
    </row>
    <row r="280" spans="2:10" s="9" customFormat="1" ht="30" customHeight="1">
      <c r="B280" s="24"/>
      <c r="C280" s="25" t="s">
        <v>118</v>
      </c>
      <c r="D280" s="25" t="s">
        <v>116</v>
      </c>
      <c r="E280" s="27" t="s">
        <v>75</v>
      </c>
      <c r="F280" s="27" t="str">
        <f t="shared" si="8"/>
        <v>비데(욕실2)59E</v>
      </c>
      <c r="G280" s="32">
        <v>200000</v>
      </c>
      <c r="H280" s="87">
        <f t="shared" si="7"/>
        <v>181818</v>
      </c>
      <c r="I280" s="87">
        <v>18182</v>
      </c>
      <c r="J280" s="106"/>
    </row>
    <row r="281" spans="2:10" s="9" customFormat="1" ht="30" customHeight="1">
      <c r="B281" s="24"/>
      <c r="C281" s="25" t="s">
        <v>118</v>
      </c>
      <c r="D281" s="25" t="s">
        <v>116</v>
      </c>
      <c r="E281" s="27" t="s">
        <v>76</v>
      </c>
      <c r="F281" s="27" t="str">
        <f t="shared" si="8"/>
        <v>비데(욕실2)59F</v>
      </c>
      <c r="G281" s="32">
        <v>200000</v>
      </c>
      <c r="H281" s="87">
        <f t="shared" si="7"/>
        <v>181818</v>
      </c>
      <c r="I281" s="87">
        <v>18182</v>
      </c>
      <c r="J281" s="106"/>
    </row>
    <row r="282" spans="2:10" s="9" customFormat="1" ht="30" customHeight="1">
      <c r="B282" s="24"/>
      <c r="C282" s="25" t="s">
        <v>118</v>
      </c>
      <c r="D282" s="25" t="s">
        <v>116</v>
      </c>
      <c r="E282" s="27">
        <v>79</v>
      </c>
      <c r="F282" s="27" t="str">
        <f t="shared" si="8"/>
        <v>비데(욕실2)79</v>
      </c>
      <c r="G282" s="32">
        <v>200000</v>
      </c>
      <c r="H282" s="87">
        <f t="shared" si="7"/>
        <v>181818</v>
      </c>
      <c r="I282" s="87">
        <v>18182</v>
      </c>
      <c r="J282" s="106"/>
    </row>
    <row r="283" spans="2:10" s="9" customFormat="1" ht="30" customHeight="1" thickBot="1">
      <c r="B283" s="42"/>
      <c r="C283" s="43" t="s">
        <v>118</v>
      </c>
      <c r="D283" s="43" t="s">
        <v>116</v>
      </c>
      <c r="E283" s="45">
        <v>84</v>
      </c>
      <c r="F283" s="45" t="str">
        <f t="shared" si="8"/>
        <v>비데(욕실2)84</v>
      </c>
      <c r="G283" s="32">
        <v>200000</v>
      </c>
      <c r="H283" s="87">
        <f t="shared" si="7"/>
        <v>181818</v>
      </c>
      <c r="I283" s="87">
        <v>18182</v>
      </c>
      <c r="J283" s="107"/>
    </row>
    <row r="284" spans="2:10" s="9" customFormat="1" ht="30" customHeight="1">
      <c r="B284" s="108">
        <v>8</v>
      </c>
      <c r="C284" s="36" t="s">
        <v>44</v>
      </c>
      <c r="D284" s="36" t="s">
        <v>119</v>
      </c>
      <c r="E284" s="101" t="s">
        <v>60</v>
      </c>
      <c r="F284" s="101" t="str">
        <f t="shared" si="8"/>
        <v>스마트복합환풍기43</v>
      </c>
      <c r="G284" s="39">
        <v>600000</v>
      </c>
      <c r="H284" s="102">
        <f t="shared" si="7"/>
        <v>545454</v>
      </c>
      <c r="I284" s="102">
        <v>54546</v>
      </c>
      <c r="J284" s="105" t="s">
        <v>120</v>
      </c>
    </row>
    <row r="285" spans="2:10" s="9" customFormat="1" ht="30" customHeight="1">
      <c r="B285" s="109"/>
      <c r="C285" s="25" t="s">
        <v>121</v>
      </c>
      <c r="D285" s="25" t="s">
        <v>122</v>
      </c>
      <c r="E285" s="31" t="s">
        <v>17</v>
      </c>
      <c r="F285" s="31" t="str">
        <f t="shared" si="8"/>
        <v>스마트복합환풍기48A</v>
      </c>
      <c r="G285" s="28">
        <v>600000</v>
      </c>
      <c r="H285" s="87">
        <f t="shared" si="7"/>
        <v>545454</v>
      </c>
      <c r="I285" s="87">
        <v>54546</v>
      </c>
      <c r="J285" s="106"/>
    </row>
    <row r="286" spans="2:10" s="9" customFormat="1" ht="30" customHeight="1">
      <c r="B286" s="109"/>
      <c r="C286" s="25" t="s">
        <v>121</v>
      </c>
      <c r="D286" s="25" t="s">
        <v>122</v>
      </c>
      <c r="E286" s="31" t="s">
        <v>8</v>
      </c>
      <c r="F286" s="31" t="str">
        <f t="shared" si="8"/>
        <v>스마트복합환풍기48B</v>
      </c>
      <c r="G286" s="28">
        <v>600000</v>
      </c>
      <c r="H286" s="87">
        <f t="shared" si="7"/>
        <v>545454</v>
      </c>
      <c r="I286" s="87">
        <v>54546</v>
      </c>
      <c r="J286" s="106"/>
    </row>
    <row r="287" spans="2:10" s="9" customFormat="1" ht="30" customHeight="1">
      <c r="B287" s="109"/>
      <c r="C287" s="25" t="s">
        <v>121</v>
      </c>
      <c r="D287" s="25" t="s">
        <v>122</v>
      </c>
      <c r="E287" s="31" t="s">
        <v>10</v>
      </c>
      <c r="F287" s="31" t="str">
        <f t="shared" si="8"/>
        <v>스마트복합환풍기52A</v>
      </c>
      <c r="G287" s="28">
        <v>600000</v>
      </c>
      <c r="H287" s="87">
        <f t="shared" si="7"/>
        <v>545454</v>
      </c>
      <c r="I287" s="87">
        <v>54546</v>
      </c>
      <c r="J287" s="106"/>
    </row>
    <row r="288" spans="2:10" s="9" customFormat="1" ht="30" customHeight="1">
      <c r="B288" s="109"/>
      <c r="C288" s="25" t="s">
        <v>121</v>
      </c>
      <c r="D288" s="25" t="s">
        <v>122</v>
      </c>
      <c r="E288" s="31" t="s">
        <v>21</v>
      </c>
      <c r="F288" s="31" t="str">
        <f t="shared" si="8"/>
        <v>스마트복합환풍기52B</v>
      </c>
      <c r="G288" s="28">
        <v>600000</v>
      </c>
      <c r="H288" s="87">
        <f t="shared" si="7"/>
        <v>545454</v>
      </c>
      <c r="I288" s="87">
        <v>54546</v>
      </c>
      <c r="J288" s="106"/>
    </row>
    <row r="289" spans="2:10" s="9" customFormat="1" ht="30" customHeight="1">
      <c r="B289" s="109"/>
      <c r="C289" s="25" t="s">
        <v>121</v>
      </c>
      <c r="D289" s="25" t="s">
        <v>122</v>
      </c>
      <c r="E289" s="31" t="s">
        <v>22</v>
      </c>
      <c r="F289" s="31" t="str">
        <f t="shared" si="8"/>
        <v>스마트복합환풍기52C</v>
      </c>
      <c r="G289" s="28">
        <v>600000</v>
      </c>
      <c r="H289" s="87">
        <f t="shared" si="7"/>
        <v>545454</v>
      </c>
      <c r="I289" s="87">
        <v>54546</v>
      </c>
      <c r="J289" s="106"/>
    </row>
    <row r="290" spans="2:10" s="9" customFormat="1" ht="30" customHeight="1">
      <c r="B290" s="109"/>
      <c r="C290" s="25" t="s">
        <v>121</v>
      </c>
      <c r="D290" s="25" t="s">
        <v>122</v>
      </c>
      <c r="E290" s="31" t="s">
        <v>13</v>
      </c>
      <c r="F290" s="31" t="str">
        <f t="shared" si="8"/>
        <v>스마트복합환풍기55A</v>
      </c>
      <c r="G290" s="28">
        <v>600000</v>
      </c>
      <c r="H290" s="87">
        <f t="shared" si="7"/>
        <v>545454</v>
      </c>
      <c r="I290" s="87">
        <v>54546</v>
      </c>
      <c r="J290" s="106"/>
    </row>
    <row r="291" spans="2:10" s="9" customFormat="1" ht="30" customHeight="1">
      <c r="B291" s="109"/>
      <c r="C291" s="25" t="s">
        <v>121</v>
      </c>
      <c r="D291" s="25" t="s">
        <v>122</v>
      </c>
      <c r="E291" s="31" t="s">
        <v>18</v>
      </c>
      <c r="F291" s="31" t="str">
        <f t="shared" si="8"/>
        <v>스마트복합환풍기55B</v>
      </c>
      <c r="G291" s="28">
        <v>600000</v>
      </c>
      <c r="H291" s="87">
        <f t="shared" si="7"/>
        <v>545454</v>
      </c>
      <c r="I291" s="87">
        <v>54546</v>
      </c>
      <c r="J291" s="106"/>
    </row>
    <row r="292" spans="2:10" s="9" customFormat="1" ht="30" customHeight="1">
      <c r="B292" s="109"/>
      <c r="C292" s="25" t="s">
        <v>121</v>
      </c>
      <c r="D292" s="25" t="s">
        <v>122</v>
      </c>
      <c r="E292" s="27" t="s">
        <v>63</v>
      </c>
      <c r="F292" s="27" t="str">
        <f t="shared" si="8"/>
        <v>스마트복합환풍기65A</v>
      </c>
      <c r="G292" s="28">
        <v>600000</v>
      </c>
      <c r="H292" s="87">
        <f t="shared" si="7"/>
        <v>545454</v>
      </c>
      <c r="I292" s="87">
        <v>54546</v>
      </c>
      <c r="J292" s="106"/>
    </row>
    <row r="293" spans="2:10" s="9" customFormat="1" ht="30" customHeight="1">
      <c r="B293" s="109"/>
      <c r="C293" s="25" t="s">
        <v>121</v>
      </c>
      <c r="D293" s="25" t="s">
        <v>122</v>
      </c>
      <c r="E293" s="27" t="s">
        <v>64</v>
      </c>
      <c r="F293" s="27" t="str">
        <f t="shared" si="8"/>
        <v>스마트복합환풍기65B</v>
      </c>
      <c r="G293" s="28">
        <v>600000</v>
      </c>
      <c r="H293" s="87">
        <f t="shared" si="7"/>
        <v>545454</v>
      </c>
      <c r="I293" s="87">
        <v>54546</v>
      </c>
      <c r="J293" s="106"/>
    </row>
    <row r="294" spans="2:10" s="9" customFormat="1" ht="30" customHeight="1">
      <c r="B294" s="109"/>
      <c r="C294" s="25" t="s">
        <v>121</v>
      </c>
      <c r="D294" s="25" t="s">
        <v>122</v>
      </c>
      <c r="E294" s="27">
        <v>68</v>
      </c>
      <c r="F294" s="27" t="str">
        <f t="shared" si="8"/>
        <v>스마트복합환풍기68</v>
      </c>
      <c r="G294" s="28">
        <v>600000</v>
      </c>
      <c r="H294" s="22">
        <f t="shared" si="7"/>
        <v>545454</v>
      </c>
      <c r="I294" s="22">
        <v>54546</v>
      </c>
      <c r="J294" s="111"/>
    </row>
    <row r="295" spans="2:10" s="9" customFormat="1" ht="30" customHeight="1">
      <c r="B295" s="109"/>
      <c r="C295" s="25" t="s">
        <v>121</v>
      </c>
      <c r="D295" s="25" t="s">
        <v>123</v>
      </c>
      <c r="E295" s="31" t="s">
        <v>15</v>
      </c>
      <c r="F295" s="31" t="str">
        <f t="shared" si="8"/>
        <v>스마트복합환풍기59A</v>
      </c>
      <c r="G295" s="28">
        <v>1200000</v>
      </c>
      <c r="H295" s="87">
        <f t="shared" si="7"/>
        <v>1090909</v>
      </c>
      <c r="I295" s="87">
        <v>109091</v>
      </c>
      <c r="J295" s="106" t="s">
        <v>124</v>
      </c>
    </row>
    <row r="296" spans="2:10" s="9" customFormat="1" ht="30" customHeight="1">
      <c r="B296" s="109"/>
      <c r="C296" s="25" t="s">
        <v>121</v>
      </c>
      <c r="D296" s="25" t="s">
        <v>125</v>
      </c>
      <c r="E296" s="31" t="s">
        <v>19</v>
      </c>
      <c r="F296" s="31" t="str">
        <f t="shared" si="8"/>
        <v>스마트복합환풍기59B</v>
      </c>
      <c r="G296" s="28">
        <v>1200000</v>
      </c>
      <c r="H296" s="87">
        <f t="shared" si="7"/>
        <v>1090909</v>
      </c>
      <c r="I296" s="87">
        <v>109091</v>
      </c>
      <c r="J296" s="106"/>
    </row>
    <row r="297" spans="2:10" s="9" customFormat="1" ht="30" customHeight="1">
      <c r="B297" s="109"/>
      <c r="C297" s="25" t="s">
        <v>121</v>
      </c>
      <c r="D297" s="25" t="s">
        <v>125</v>
      </c>
      <c r="E297" s="31" t="s">
        <v>7</v>
      </c>
      <c r="F297" s="31" t="str">
        <f t="shared" si="8"/>
        <v>스마트복합환풍기59C</v>
      </c>
      <c r="G297" s="28">
        <v>1200000</v>
      </c>
      <c r="H297" s="87">
        <f t="shared" si="7"/>
        <v>1090909</v>
      </c>
      <c r="I297" s="87">
        <v>109091</v>
      </c>
      <c r="J297" s="106"/>
    </row>
    <row r="298" spans="2:10" s="9" customFormat="1" ht="30" customHeight="1">
      <c r="B298" s="109"/>
      <c r="C298" s="25" t="s">
        <v>121</v>
      </c>
      <c r="D298" s="25" t="s">
        <v>125</v>
      </c>
      <c r="E298" s="31" t="s">
        <v>9</v>
      </c>
      <c r="F298" s="31" t="str">
        <f t="shared" si="8"/>
        <v>스마트복합환풍기59D</v>
      </c>
      <c r="G298" s="28">
        <v>1200000</v>
      </c>
      <c r="H298" s="87">
        <f t="shared" si="7"/>
        <v>1090909</v>
      </c>
      <c r="I298" s="87">
        <v>109091</v>
      </c>
      <c r="J298" s="106"/>
    </row>
    <row r="299" spans="2:10" s="9" customFormat="1" ht="30" customHeight="1">
      <c r="B299" s="109"/>
      <c r="C299" s="25" t="s">
        <v>121</v>
      </c>
      <c r="D299" s="25" t="s">
        <v>125</v>
      </c>
      <c r="E299" s="31" t="s">
        <v>20</v>
      </c>
      <c r="F299" s="31" t="str">
        <f t="shared" si="8"/>
        <v>스마트복합환풍기59E</v>
      </c>
      <c r="G299" s="28">
        <v>1200000</v>
      </c>
      <c r="H299" s="87">
        <f t="shared" si="7"/>
        <v>1090909</v>
      </c>
      <c r="I299" s="87">
        <v>109091</v>
      </c>
      <c r="J299" s="106"/>
    </row>
    <row r="300" spans="2:10" s="9" customFormat="1" ht="30" customHeight="1">
      <c r="B300" s="109"/>
      <c r="C300" s="25" t="s">
        <v>121</v>
      </c>
      <c r="D300" s="25" t="s">
        <v>125</v>
      </c>
      <c r="E300" s="31" t="s">
        <v>12</v>
      </c>
      <c r="F300" s="31" t="str">
        <f t="shared" si="8"/>
        <v>스마트복합환풍기59F</v>
      </c>
      <c r="G300" s="28">
        <v>1200000</v>
      </c>
      <c r="H300" s="87">
        <f t="shared" ref="H300:H302" si="9">+TRUNC(G300/1.1,0)</f>
        <v>1090909</v>
      </c>
      <c r="I300" s="87">
        <v>109091</v>
      </c>
      <c r="J300" s="106"/>
    </row>
    <row r="301" spans="2:10" s="9" customFormat="1" ht="30" customHeight="1">
      <c r="B301" s="109"/>
      <c r="C301" s="25" t="s">
        <v>121</v>
      </c>
      <c r="D301" s="25" t="s">
        <v>125</v>
      </c>
      <c r="E301" s="27">
        <v>79</v>
      </c>
      <c r="F301" s="27" t="str">
        <f t="shared" si="8"/>
        <v>스마트복합환풍기79</v>
      </c>
      <c r="G301" s="28">
        <v>1200000</v>
      </c>
      <c r="H301" s="87">
        <f t="shared" si="9"/>
        <v>1090909</v>
      </c>
      <c r="I301" s="87">
        <v>109091</v>
      </c>
      <c r="J301" s="106"/>
    </row>
    <row r="302" spans="2:10" s="9" customFormat="1" ht="30" customHeight="1" thickBot="1">
      <c r="B302" s="110"/>
      <c r="C302" s="43" t="s">
        <v>121</v>
      </c>
      <c r="D302" s="43" t="s">
        <v>125</v>
      </c>
      <c r="E302" s="45">
        <v>84</v>
      </c>
      <c r="F302" s="45" t="str">
        <f t="shared" si="8"/>
        <v>스마트복합환풍기84</v>
      </c>
      <c r="G302" s="46">
        <v>1200000</v>
      </c>
      <c r="H302" s="99">
        <f t="shared" si="9"/>
        <v>1090909</v>
      </c>
      <c r="I302" s="99">
        <v>109091</v>
      </c>
      <c r="J302" s="107"/>
    </row>
  </sheetData>
  <autoFilter ref="B4:O302" xr:uid="{24CBC403-FF24-4F11-8664-89B70AD334EE}">
    <sortState xmlns:xlrd2="http://schemas.microsoft.com/office/spreadsheetml/2017/richdata2" ref="B5:O264">
      <sortCondition ref="D4"/>
    </sortState>
  </autoFilter>
  <mergeCells count="4">
    <mergeCell ref="J276:J283"/>
    <mergeCell ref="B284:B302"/>
    <mergeCell ref="J284:J294"/>
    <mergeCell ref="J295:J302"/>
  </mergeCells>
  <phoneticPr fontId="4" type="noConversion"/>
  <printOptions horizontalCentered="1"/>
  <pageMargins left="0.39370078740157483" right="0.39370078740157483" top="0.39370078740157483" bottom="0.39370078740157483" header="0.31496062992125984" footer="0.31496062992125984"/>
  <pageSetup paperSize="9" fitToHeight="0" orientation="portrait" r:id="rId1"/>
  <headerFooter>
    <oddFooter>&amp;R&amp;P 페이지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2</vt:i4>
      </vt:variant>
    </vt:vector>
  </HeadingPairs>
  <TitlesOfParts>
    <vt:vector size="5" baseType="lpstr">
      <vt:lpstr>Sheet1</vt:lpstr>
      <vt:lpstr>Sheet1 (2)</vt:lpstr>
      <vt:lpstr>옵션</vt:lpstr>
      <vt:lpstr>옵션!Print_Area</vt:lpstr>
      <vt:lpstr>옵션!Print_Titles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basalt .</dc:creator>
  <cp:lastModifiedBy>동우 임</cp:lastModifiedBy>
  <dcterms:created xsi:type="dcterms:W3CDTF">2026-05-10T07:41:28Z</dcterms:created>
  <dcterms:modified xsi:type="dcterms:W3CDTF">2026-05-12T04:41:02Z</dcterms:modified>
</cp:coreProperties>
</file>